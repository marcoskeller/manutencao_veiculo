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F968BEB9-825E-4267-B825-AC35013BC326}" xr6:coauthVersionLast="47" xr6:coauthVersionMax="47" xr10:uidLastSave="{00000000-0000-0000-0000-000000000000}"/>
  <bookViews>
    <workbookView xWindow="-108" yWindow="-108" windowWidth="23256" windowHeight="12576" tabRatio="840" firstSheet="2" activeTab="7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32" r:id="rId12"/>
    <pivotCache cacheId="39" r:id="rId13"/>
    <pivotCache cacheId="46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5" l="1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<sst xmlns="http://schemas.openxmlformats.org/spreadsheetml/2006/main" count="427" uniqueCount="148">
  <si>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</si>
  <si>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</si>
  <si>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</si>
  <si>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</si>
  <si>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</si>
  <si>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</si>
  <si>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</si>
  <si>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</si>
  <si>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</si>
  <si>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</si>
  <si>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</si>
  <si>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</si>
  <si>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</si>
  <si>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</si>
  <si>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</si>
  <si>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</si>
  <si>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</si>
  <si>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</si>
  <si>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</si>
  <si>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</si>
  <si>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</si>
  <si>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</si>
  <si>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</si>
  <si>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</si>
  <si>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</si>
  <si>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</si>
  <si>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</si>
  <si>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</si>
  <si>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</si>
  <si>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</si>
  <si>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</si>
  <si>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</si>
  <si>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</si>
  <si>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</si>
  <si>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</si>
  <si>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</si>
  <si>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</si>
  <si>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</si>
  <si>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</si>
  <si>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</si>
  <si>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</si>
  <si>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</si>
  <si>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</si>
  <si>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</si>
  <si>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</si>
  <si>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</si>
  <si>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</si>
  <si>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</si>
  <si>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</si>
  <si>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</si>
  <si>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</si>
  <si>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</si>
  <si>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</si>
  <si>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</si>
  <si>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</si>
  <si>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</si>
  <si>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</si>
  <si>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</si>
  <si>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</si>
  <si>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</si>
  <si>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</si>
  <si>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</si>
  <si>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</si>
  <si>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</si>
  <si>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</si>
  <si>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</si>
  <si>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</si>
  <si>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</si>
  <si>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</si>
  <si>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</si>
  <si>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</si>
  <si>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</si>
  <si>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</si>
  <si>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</si>
  <si>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</si>
  <si>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</si>
  <si>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</si>
  <si>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</si>
  <si>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</si>
  <si>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</si>
  <si>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</si>
  <si>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</si>
  <si>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</si>
  <si>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</si>
  <si>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</si>
  <si>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</si>
  <si>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</si>
  <si>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</si>
  <si>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</si>
  <si>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</si>
  <si>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</si>
  <si>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</si>
  <si>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</si>
  <si>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</si>
  <si>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</si>
  <si>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</si>
  <si>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</si>
  <si>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</si>
  <si>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</si>
  <si>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</si>
  <si>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</si>
  <si>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</si>
  <si>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</si>
  <si>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</si>
  <si>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</si>
  <si>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</si>
  <si>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</si>
  <si>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</si>
  <si>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</si>
  <si>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</si>
  <si>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</si>
  <si>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</si>
  <si>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</si>
  <si>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</si>
  <si>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</si>
  <si>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</si>
  <si>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</si>
  <si>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</si>
  <si>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</si>
  <si>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</si>
  <si>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</si>
  <si>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</si>
  <si>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</si>
  <si>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</si>
  <si>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</si>
  <si>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</si>
  <si>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</si>
  <si>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</si>
  <si>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</si>
  <si>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</si>
  <si>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</si>
  <si>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</si>
  <si>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</si>
  <si>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</si>
  <si>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</si>
  <si>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</si>
  <si>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</si>
  <si>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</si>
  <si>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</si>
  <si>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</si>
  <si>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</si>
  <si>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</si>
  <si>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</si>
  <si>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</si>
  <si>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Posto Amigo 8</t>
  </si>
  <si>
    <t>Posto Amigo 9</t>
  </si>
  <si>
    <t>Posto Amigo 10</t>
  </si>
  <si>
    <t>Gasolina Comum - Posto Shell Pica Pau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</si>
</sst>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2"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7.8660951176426925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74.458403819444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74.458403935183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4-27T00:00:00" count="8">
        <d v="2025-03-28T00:00:00"/>
        <d v="2025-04-06T00:00:00"/>
        <d v="2025-04-09T00:00:00"/>
        <d v="2025-04-12T00:00:00"/>
        <d v="2025-04-17T00:00:00"/>
        <d v="2025-04-23T00:00:00"/>
        <d v="2025-04-26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88629"/>
    </cacheField>
    <cacheField name="Km percorridos" numFmtId="164">
      <sharedItems containsString="0" containsBlank="1" containsNumber="1" containsInteger="1" minValue="131" maxValue="359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74.458404166668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  <r>
    <x v="7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39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9">
        <item x="0"/>
        <item h="1" x="7"/>
        <item x="1"/>
        <item x="2"/>
        <item x="3"/>
        <item x="4"/>
        <item x="5"/>
        <item x="6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3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1" firstHeaderRow="1" firstDataRow="2" firstDataCol="2"/>
  <pivotFields count="12">
    <pivotField axis="axisRow" compact="0" numFmtId="14" outline="0" showAll="0">
      <items count="9">
        <item x="0"/>
        <item x="7"/>
        <item x="1"/>
        <item x="2"/>
        <item x="3"/>
        <item x="4"/>
        <item x="5"/>
        <item x="6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8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32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0">
      <pivotArea type="all" dataOnly="0" outline="0" fieldPosition="0"/>
    </format>
    <format dxfId="19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18">
      <pivotArea dataOnly="0" labelOnly="1" outline="0" fieldPosition="0">
        <references count="1">
          <reference field="1" count="0"/>
        </references>
      </pivotArea>
    </format>
    <format dxfId="17">
      <pivotArea dataOnly="0" labelOnly="1" outline="0" fieldPosition="0">
        <references count="1">
          <reference field="5" count="0"/>
        </references>
      </pivotArea>
    </format>
    <format dxfId="16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32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4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1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0"/>
    <tableColumn id="2" xr3:uid="{00000000-0010-0000-0000-000002000000}" name="Modelo" dataDxfId="49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3" totalsRowShown="0" headerRowDxfId="48">
  <autoFilter ref="A23:A33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47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46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5">
  <autoFilter ref="A7:J27" xr:uid="{00000000-0009-0000-0100-000009000000}"/>
  <tableColumns count="10">
    <tableColumn id="1" xr3:uid="{00000000-0010-0000-0500-000001000000}" name="Data" dataDxfId="44"/>
    <tableColumn id="2" xr3:uid="{00000000-0010-0000-0500-000002000000}" name="Placa"/>
    <tableColumn id="3" xr3:uid="{00000000-0010-0000-0500-000003000000}" name="Modelo" dataDxfId="43">
      <calculatedColumnFormula>IFERROR(VLOOKUP(B8,'2. CADASTRO DE VEÍCULOS'!B:D,3,0),"")</calculatedColumnFormula>
    </tableColumn>
    <tableColumn id="11" xr3:uid="{00000000-0010-0000-0500-00000B000000}" name="Fabricante" dataDxfId="42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1"/>
    <tableColumn id="6" xr3:uid="{00000000-0010-0000-0500-000006000000}" name="Preço por litro" dataCellStyle="Moeda"/>
    <tableColumn id="10" xr3:uid="{00000000-0010-0000-0500-00000A000000}" name="Litros abastecidos" dataDxfId="40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39" dataCellStyle="Vírgula"/>
    <tableColumn id="7" xr3:uid="{00000000-0010-0000-0500-000007000000}" name="Km percorridos" dataDxfId="38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37">
  <autoFilter ref="A7:I60" xr:uid="{00000000-0009-0000-0100-00000A000000}"/>
  <tableColumns count="9">
    <tableColumn id="1" xr3:uid="{00000000-0010-0000-0600-000001000000}" name="Data" dataDxfId="36"/>
    <tableColumn id="7" xr3:uid="{00000000-0010-0000-0600-000007000000}" name="Placa" dataDxfId="35"/>
    <tableColumn id="6" xr3:uid="{00000000-0010-0000-0600-000006000000}" name="Modelo" dataDxfId="34">
      <calculatedColumnFormula>IFERROR(VLOOKUP(B8,'2. CADASTRO DE VEÍCULOS'!B:D,3,0),"")</calculatedColumnFormula>
    </tableColumn>
    <tableColumn id="8" xr3:uid="{00000000-0010-0000-0600-000008000000}" name="Fabricante" dataDxfId="33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2">
  <autoFilter ref="A7:M11" xr:uid="{00000000-0009-0000-0100-00000B000000}"/>
  <tableColumns count="13">
    <tableColumn id="1" xr3:uid="{00000000-0010-0000-0700-000001000000}" name="Data" dataDxfId="31"/>
    <tableColumn id="13" xr3:uid="{00000000-0010-0000-0700-00000D000000}" name="Placa" dataDxfId="30"/>
    <tableColumn id="12" xr3:uid="{00000000-0010-0000-0700-00000C000000}" name="Modelo" dataDxfId="29">
      <calculatedColumnFormula>IFERROR(VLOOKUP(B8,'2. CADASTRO DE VEÍCULOS'!B:D,3,0),"")</calculatedColumnFormula>
    </tableColumn>
    <tableColumn id="11" xr3:uid="{00000000-0010-0000-0700-00000B000000}" name="Fabricante" dataDxfId="28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27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26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4" tableBorderDxfId="13">
  <autoFilter ref="G9:L19" xr:uid="{00000000-0009-0000-0100-00000C000000}"/>
  <tableColumns count="6">
    <tableColumn id="1" xr3:uid="{00000000-0010-0000-0800-000001000000}" name="Placa" dataDxfId="12"/>
    <tableColumn id="2" xr3:uid="{00000000-0010-0000-0800-000002000000}" name="Fabricante" dataDxfId="11"/>
    <tableColumn id="3" xr3:uid="{00000000-0010-0000-0800-000003000000}" name="Modelo" dataDxfId="10"/>
    <tableColumn id="4" xr3:uid="{00000000-0010-0000-0800-000004000000}" name="Últ. Abast." dataDxfId="9">
      <calculatedColumnFormula array="1">IFERROR(LARGE(IF(G10=Tabela4[Placa],Tabela4[Quilometragem do hodômetro (Km)]),1),0)</calculatedColumnFormula>
    </tableColumn>
    <tableColumn id="5" xr3:uid="{00000000-0010-0000-0800-000005000000}" name="Próx. Troca" dataDxfId="8">
      <calculatedColumnFormula array="1">IFERROR(LARGE(IF(G10=Tabela9[Placa],Tabela9[Próxima troca (Km)]),1),0)</calculatedColumnFormula>
    </tableColumn>
    <tableColumn id="6" xr3:uid="{00000000-0010-0000-0800-000006000000}" name="Alerta" dataDxfId="7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6">
  <autoFilter ref="A7:M11" xr:uid="{00000000-0009-0000-0100-00000B000000}"/>
  <tableColumns count="13">
    <tableColumn id="1" xr3:uid="{D52E3B5A-FAE9-4EB9-93B5-377852A545D6}" name="Data" dataDxfId="5"/>
    <tableColumn id="13" xr3:uid="{A65D354E-904C-4772-9F70-6B35C810542F}" name="Placa" dataDxfId="4"/>
    <tableColumn id="12" xr3:uid="{977B0B84-7580-4185-A977-3196000F9C98}" name="Modelo" dataDxfId="3">
      <calculatedColumnFormula>IFERROR(VLOOKUP(B8,'2. CADASTRO DE VEÍCULOS'!B:D,3,0),"")</calculatedColumnFormula>
    </tableColumn>
    <tableColumn id="11" xr3:uid="{1F4E373B-AB4B-499C-9750-7D7A08E4F593}" name="Fabricante" dataDxfId="2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1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0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3"/>
  <sheetViews>
    <sheetView showGridLines="0" workbookViewId="0">
      <pane ySplit="4" topLeftCell="A17" activePane="bottomLeft" state="frozen"/>
      <selection pane="bottomLeft" activeCell="A32" sqref="A32"/>
    </sheetView>
  </sheetViews>
  <sheetFormatPr defaultRowHeight="14.4" x14ac:dyDescent="0.3"/>
  <cols>
    <col min="1" max="1" width="33.88671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147</v>
      </c>
    </row>
    <row r="31" spans="1:4" x14ac:dyDescent="0.3">
      <c r="A31" t="s">
        <v>144</v>
      </c>
    </row>
    <row r="32" spans="1:4" x14ac:dyDescent="0.3">
      <c r="A32" t="s">
        <v>145</v>
      </c>
    </row>
    <row r="33" spans="1:1" x14ac:dyDescent="0.3">
      <c r="A33" t="s">
        <v>146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workbookViewId="0">
      <pane ySplit="4" topLeftCell="A5" activePane="bottomLeft" state="frozen"/>
      <selection pane="bottomLeft" activeCell="J14" sqref="J14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147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/>
      <c r="C15" s="21"/>
      <c r="D15" s="16"/>
      <c r="F15" s="17"/>
      <c r="G15" s="17"/>
      <c r="H15" s="22"/>
      <c r="I15" s="25"/>
      <c r="J15" s="24"/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tabSelected="1" workbookViewId="0">
      <pane ySplit="4" topLeftCell="A5" activePane="bottomLeft" state="frozen"/>
      <selection pane="bottomLeft" activeCell="G20" sqref="G20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1">
        <v>7.8660951176426925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3" t="s">
        <v>102</v>
      </c>
      <c r="K13" s="102">
        <v>7.8660951176426925</v>
      </c>
    </row>
    <row r="14" spans="1:15" x14ac:dyDescent="0.3">
      <c r="A14" s="34"/>
      <c r="B14" s="34" t="s">
        <v>143</v>
      </c>
      <c r="C14" s="99">
        <v>45744</v>
      </c>
      <c r="D14" s="104">
        <v>100.01</v>
      </c>
      <c r="E14" s="105">
        <v>131</v>
      </c>
      <c r="F14" s="104">
        <v>0.76343511450381685</v>
      </c>
      <c r="G14" s="86">
        <v>7.9247075292470752</v>
      </c>
    </row>
    <row r="15" spans="1:15" x14ac:dyDescent="0.3">
      <c r="A15" s="34"/>
      <c r="B15" s="34"/>
      <c r="C15" s="99">
        <v>45753</v>
      </c>
      <c r="D15" s="104">
        <v>230.08</v>
      </c>
      <c r="E15" s="105">
        <v>305</v>
      </c>
      <c r="F15" s="104">
        <v>0.75436065573770494</v>
      </c>
      <c r="G15" s="86">
        <v>7.913986439499304</v>
      </c>
    </row>
    <row r="16" spans="1:15" x14ac:dyDescent="0.3">
      <c r="A16" s="34"/>
      <c r="B16" s="34"/>
      <c r="C16" s="99">
        <v>45756</v>
      </c>
      <c r="D16" s="104">
        <v>262.51</v>
      </c>
      <c r="E16" s="105">
        <v>347</v>
      </c>
      <c r="F16" s="104">
        <v>0.75651296829971182</v>
      </c>
      <c r="G16" s="86">
        <v>7.7592853605576932</v>
      </c>
    </row>
    <row r="17" spans="1:11" x14ac:dyDescent="0.3">
      <c r="A17" s="34"/>
      <c r="B17" s="34"/>
      <c r="C17" s="99">
        <v>45759</v>
      </c>
      <c r="D17" s="104">
        <v>249</v>
      </c>
      <c r="E17" s="105">
        <v>320</v>
      </c>
      <c r="F17" s="104">
        <v>0.77812499999999996</v>
      </c>
      <c r="G17" s="86">
        <v>7.697991967871487</v>
      </c>
    </row>
    <row r="18" spans="1:11" x14ac:dyDescent="0.3">
      <c r="A18" s="34"/>
      <c r="B18" s="34"/>
      <c r="C18" s="99">
        <v>45764</v>
      </c>
      <c r="D18" s="104">
        <v>264.92</v>
      </c>
      <c r="E18" s="105">
        <v>306</v>
      </c>
      <c r="F18" s="104">
        <v>0.86575163398692812</v>
      </c>
      <c r="G18" s="86">
        <v>7.4963762645326888</v>
      </c>
    </row>
    <row r="19" spans="1:11" x14ac:dyDescent="0.3">
      <c r="A19" s="34"/>
      <c r="B19" s="34"/>
      <c r="C19" s="99">
        <v>45770</v>
      </c>
      <c r="D19" s="104">
        <v>279.45999999999998</v>
      </c>
      <c r="E19" s="105">
        <v>359</v>
      </c>
      <c r="F19" s="104">
        <v>0.77844011142061276</v>
      </c>
      <c r="G19" s="86">
        <v>8.3371860015744659</v>
      </c>
    </row>
    <row r="20" spans="1:11" x14ac:dyDescent="0.3">
      <c r="A20" s="34"/>
      <c r="B20" s="34"/>
      <c r="C20" s="99">
        <v>45773</v>
      </c>
      <c r="D20" s="104">
        <v>257.47000000000003</v>
      </c>
      <c r="E20" s="105">
        <v>343</v>
      </c>
      <c r="F20" s="104">
        <v>0.75064139941690966</v>
      </c>
      <c r="G20" s="86">
        <v>7.9531984308851502</v>
      </c>
    </row>
    <row r="21" spans="1:11" ht="15" thickBot="1" x14ac:dyDescent="0.35">
      <c r="A21" s="34"/>
      <c r="B21" s="36" t="s">
        <v>102</v>
      </c>
      <c r="C21" s="37"/>
      <c r="D21" s="38">
        <v>1643.45</v>
      </c>
      <c r="E21" s="106">
        <v>2111</v>
      </c>
      <c r="F21" s="38">
        <v>0.77851729038370443</v>
      </c>
      <c r="G21" s="49">
        <v>7.8660951176426925</v>
      </c>
    </row>
    <row r="22" spans="1:11" x14ac:dyDescent="0.3">
      <c r="A22" s="34"/>
    </row>
    <row r="23" spans="1:11" x14ac:dyDescent="0.3">
      <c r="A23" s="34"/>
      <c r="J23" s="52"/>
      <c r="K23" s="52"/>
    </row>
    <row r="24" spans="1:11" x14ac:dyDescent="0.3">
      <c r="A24" s="34"/>
      <c r="J24" s="52"/>
      <c r="K24" s="52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1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8" t="s">
        <v>28</v>
      </c>
      <c r="E11" s="108" t="s">
        <v>30</v>
      </c>
      <c r="F11" s="108" t="s">
        <v>125</v>
      </c>
      <c r="G11" s="108" t="s">
        <v>130</v>
      </c>
      <c r="H11" s="45" t="s">
        <v>107</v>
      </c>
      <c r="J11" s="11" t="s">
        <v>30</v>
      </c>
      <c r="K11" s="101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7">
        <v>4197</v>
      </c>
      <c r="E12" s="107">
        <v>60</v>
      </c>
      <c r="F12" s="107">
        <v>100</v>
      </c>
      <c r="G12" s="107">
        <v>95</v>
      </c>
      <c r="H12" s="76">
        <v>4452</v>
      </c>
      <c r="J12" s="11" t="s">
        <v>125</v>
      </c>
      <c r="K12" s="101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1">
        <v>95</v>
      </c>
    </row>
    <row r="14" spans="1:13" x14ac:dyDescent="0.3">
      <c r="J14" s="11" t="s">
        <v>102</v>
      </c>
      <c r="K14" s="101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99">
        <v>45748</v>
      </c>
      <c r="D15" s="100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2025-04-27T14:00:09Z</dcterms:modified>
  <cp:category/>
  <cp:contentStatus/>
</cp:coreProperties>
</file>
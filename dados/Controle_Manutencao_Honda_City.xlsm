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15A515DC-BC0B-495C-A8B6-1DECD0E789F0}" xr6:coauthVersionLast="47" xr6:coauthVersionMax="47" xr10:uidLastSave="{00000000-0000-0000-0000-000000000000}"/>
  <bookViews>
    <workbookView xWindow="-108" yWindow="-108" windowWidth="23256" windowHeight="12576" tabRatio="840" firstSheet="2" activeTab="7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32" r:id="rId12"/>
    <pivotCache cacheId="39" r:id="rId13"/>
    <pivotCache cacheId="46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" i="5" l="1"/>
  <c r="D20" i="5"/>
  <c r="C20" i="5"/>
  <c r="H19" i="5"/>
  <c r="D19" i="5"/>
  <c r="C19" i="5"/>
  <c r="H18" i="5"/>
  <c r="D18" i="5"/>
  <c r="C18" i="5"/>
  <c r="H17" i="5"/>
  <c r="D17" i="5"/>
  <c r="C17" i="5"/>
  <c r="H16" i="5"/>
  <c r="D16" i="5"/>
  <c r="C16" i="5"/>
  <c r="C15" i="5"/>
  <c r="H15" i="5"/>
  <c r="D15" i="5"/>
  <c r="H14" i="5"/>
  <c r="D14" i="5"/>
  <c r="C14" i="5"/>
  <c r="H13" i="5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<sst xmlns="http://schemas.openxmlformats.org/spreadsheetml/2006/main" count="441" uniqueCount="150">
  <si>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</si>
  <si>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</si>
  <si>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</si>
  <si>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</si>
  <si>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</si>
  <si>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</si>
  <si>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</si>
  <si>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</si>
  <si>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</si>
  <si>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</si>
  <si>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</si>
  <si>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</si>
  <si>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</si>
  <si>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</si>
  <si>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</si>
  <si>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</si>
  <si>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</si>
  <si>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</si>
  <si>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</si>
  <si>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</si>
  <si>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</si>
  <si>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</si>
  <si>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</si>
  <si>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</si>
  <si>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</si>
  <si>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</si>
  <si>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</si>
  <si>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</si>
  <si>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</si>
  <si>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</si>
  <si>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</si>
  <si>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</si>
  <si>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</si>
  <si>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</si>
  <si>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</si>
  <si>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</si>
  <si>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</si>
  <si>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</si>
  <si>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</si>
  <si>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</si>
  <si>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</si>
  <si>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</si>
  <si>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</si>
  <si>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</si>
  <si>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</si>
  <si>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</si>
  <si>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</si>
  <si>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</si>
  <si>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</si>
  <si>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</si>
  <si>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</si>
  <si>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</si>
  <si>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</si>
  <si>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</si>
  <si>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</si>
  <si>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</si>
  <si>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</si>
  <si>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</si>
  <si>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</si>
  <si>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</si>
  <si>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</si>
  <si>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</si>
  <si>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</si>
  <si>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</si>
  <si>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</si>
  <si>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</si>
  <si>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</si>
  <si>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</si>
  <si>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</si>
  <si>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</si>
  <si>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</si>
  <si>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</si>
  <si>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</si>
  <si>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</si>
  <si>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</si>
  <si>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</si>
  <si>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</si>
  <si>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</si>
  <si>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</si>
  <si>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</si>
  <si>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</si>
  <si>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</si>
  <si>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</si>
  <si>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</si>
  <si>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</si>
  <si>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</si>
  <si>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</si>
  <si>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</si>
  <si>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</si>
  <si>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</si>
  <si>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</si>
  <si>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</si>
  <si>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</si>
  <si>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</si>
  <si>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</si>
  <si>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</si>
  <si>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</si>
  <si>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</si>
  <si>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</si>
  <si>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</si>
  <si>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</si>
  <si>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</si>
  <si>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</si>
  <si>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</si>
  <si>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</si>
  <si>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</si>
  <si>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</si>
  <si>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</si>
  <si>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</si>
  <si>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</si>
  <si>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</si>
  <si>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</si>
  <si>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</si>
  <si>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</si>
  <si>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</si>
  <si>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</si>
  <si>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</si>
  <si>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</si>
  <si>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</si>
  <si>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</si>
  <si>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</si>
  <si>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</si>
  <si>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</si>
  <si>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</si>
  <si>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</si>
  <si>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</si>
  <si>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</si>
  <si>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</si>
  <si>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</si>
  <si>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</si>
  <si>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</si>
  <si>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</si>
  <si>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</si>
  <si>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</si>
  <si>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</si>
  <si>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</si>
  <si>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</si>
  <si>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</si>
  <si>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</si>
  <si>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</si>
  <si>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Gasolina Aditivada Shell Power</t>
  </si>
  <si>
    <t>Gasolina Aditivada Petrobras Grid</t>
  </si>
  <si>
    <t>(Vários itens)</t>
  </si>
  <si>
    <t>OXB4E64</t>
  </si>
  <si>
    <t>Posto Amigo 10</t>
  </si>
  <si>
    <t>Gasolina Comum - Posto Shell Pica Pau</t>
  </si>
  <si>
    <t>Gasolina Comum - Posto Ipiranga Rio Comprido</t>
  </si>
  <si>
    <t>Posto Amigo 11</t>
  </si>
  <si>
    <t>Posto Amigo 12</t>
  </si>
  <si>
    <t>Gasolina Comum - Posto BR 18º - Batalhao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</si>
</sst>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4" fontId="0" fillId="0" borderId="0" xfId="0" applyNumberFormat="1" applyBorder="1"/>
    <xf numFmtId="4" fontId="0" fillId="0" borderId="0" xfId="0" applyNumberFormat="1" applyBorder="1"/>
    <xf numFmtId="0" fontId="0" fillId="0" borderId="0" xfId="0" applyNumberFormat="1"/>
    <xf numFmtId="165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65" fontId="4" fillId="0" borderId="0" xfId="0" applyNumberFormat="1" applyFont="1" applyBorder="1"/>
    <xf numFmtId="0" fontId="4" fillId="0" borderId="0" xfId="0" applyFon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7.9588266792894267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13.43477349537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13.434773958332" createdVersion="5" refreshedVersion="8" minRefreshableVersion="3" recordCount="19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6-06T00:00:00" count="15">
        <d v="2025-03-28T00:00:00"/>
        <d v="2025-04-06T00:00:00"/>
        <d v="2025-04-09T00:00:00"/>
        <d v="2025-04-12T00:00:00"/>
        <d v="2025-04-17T00:00:00"/>
        <d v="2025-04-23T00:00:00"/>
        <d v="2025-04-26T00:00:00"/>
        <d v="2025-05-03T00:00:00"/>
        <d v="2025-05-14T00:00:00"/>
        <d v="2025-05-17T00:00:00"/>
        <d v="2025-05-22T00:00:00"/>
        <d v="2025-05-29T00:00:00"/>
        <d v="2025-06-04T00:00:00"/>
        <m/>
        <d v="2025-06-05T00:00:00" u="1"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90640"/>
    </cacheField>
    <cacheField name="Km percorridos" numFmtId="164">
      <sharedItems containsString="0" containsBlank="1" containsNumber="1" containsInteger="1" minValue="131" maxValue="360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813.43477407407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0"/>
    <x v="0"/>
    <x v="0"/>
    <s v="Gasolina Comum - Posto Shell Pica Pau"/>
    <n v="257.47000000000003"/>
    <n v="5.97"/>
    <n v="43.127303182579574"/>
    <n v="88629"/>
    <n v="343"/>
  </r>
  <r>
    <x v="7"/>
    <x v="0"/>
    <x v="0"/>
    <x v="0"/>
    <s v="Gasolina Comum - Posto Ipiranga Rio Comprido"/>
    <n v="250.44"/>
    <n v="5.97"/>
    <n v="41.949748743718594"/>
    <n v="88966"/>
    <n v="337"/>
  </r>
  <r>
    <x v="8"/>
    <x v="0"/>
    <x v="0"/>
    <x v="0"/>
    <s v="Gasolina Comum - Posto Ipiranga Rio Comprido"/>
    <n v="253.15"/>
    <n v="5.89"/>
    <n v="42.979626485568765"/>
    <n v="89320"/>
    <n v="354"/>
  </r>
  <r>
    <x v="9"/>
    <x v="0"/>
    <x v="0"/>
    <x v="0"/>
    <s v="Gasolina Comum - Posto Ipiranga Rio Comprido"/>
    <n v="219.46"/>
    <n v="5.89"/>
    <n v="37.259762308998305"/>
    <n v="89624"/>
    <n v="304"/>
  </r>
  <r>
    <x v="10"/>
    <x v="0"/>
    <x v="0"/>
    <x v="0"/>
    <s v="Gasolina Comum - Posto Ipiranga Rio Comprido"/>
    <n v="248.15"/>
    <n v="5.89"/>
    <n v="42.130730050933792"/>
    <n v="89928"/>
    <n v="304"/>
  </r>
  <r>
    <x v="11"/>
    <x v="0"/>
    <x v="0"/>
    <x v="0"/>
    <s v="Gasolina Comum - Posto BR 18º - Batalhao"/>
    <n v="249.84"/>
    <n v="5.99"/>
    <n v="41.709515859766277"/>
    <n v="90280"/>
    <n v="352"/>
  </r>
  <r>
    <x v="12"/>
    <x v="0"/>
    <x v="0"/>
    <x v="0"/>
    <s v="Gasolina Comum - Posto BR 18º - Batalhao"/>
    <n v="260.68"/>
    <n v="5.99"/>
    <n v="43.519198664440736"/>
    <n v="90640"/>
    <n v="360"/>
  </r>
  <r>
    <x v="13"/>
    <x v="1"/>
    <x v="1"/>
    <x v="1"/>
    <m/>
    <m/>
    <m/>
    <m/>
    <m/>
    <m/>
  </r>
  <r>
    <x v="13"/>
    <x v="1"/>
    <x v="1"/>
    <x v="1"/>
    <m/>
    <m/>
    <m/>
    <m/>
    <m/>
    <m/>
  </r>
  <r>
    <x v="13"/>
    <x v="1"/>
    <x v="1"/>
    <x v="1"/>
    <m/>
    <m/>
    <m/>
    <m/>
    <m/>
    <m/>
  </r>
  <r>
    <x v="13"/>
    <x v="1"/>
    <x v="1"/>
    <x v="1"/>
    <m/>
    <m/>
    <m/>
    <m/>
    <m/>
    <m/>
  </r>
  <r>
    <x v="13"/>
    <x v="1"/>
    <x v="1"/>
    <x v="1"/>
    <m/>
    <m/>
    <m/>
    <m/>
    <m/>
    <m/>
  </r>
  <r>
    <x v="13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39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27" firstHeaderRow="1" firstDataRow="2" firstDataCol="2"/>
  <pivotFields count="12">
    <pivotField axis="axisRow" compact="0" numFmtId="14" outline="0" showAll="0">
      <items count="16">
        <item x="0"/>
        <item x="13"/>
        <item x="1"/>
        <item x="2"/>
        <item x="3"/>
        <item x="4"/>
        <item x="5"/>
        <item x="6"/>
        <item x="7"/>
        <item x="8"/>
        <item x="9"/>
        <item x="10"/>
        <item x="11"/>
        <item m="1" x="14"/>
        <item x="12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14">
    <i>
      <x v="2"/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39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16">
        <item x="0"/>
        <item h="1" x="13"/>
        <item x="1"/>
        <item x="2"/>
        <item x="3"/>
        <item x="4"/>
        <item x="5"/>
        <item x="6"/>
        <item x="7"/>
        <item x="8"/>
        <item x="9"/>
        <item x="10"/>
        <item x="11"/>
        <item m="1" x="14"/>
        <item x="12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grandRow="1" outline="0" collapsedLevelsAreSubtotals="1" fieldPosition="0"/>
    </format>
    <format dxfId="26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32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32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46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5" totalsRowShown="0" headerRowDxfId="52">
  <autoFilter ref="A23:A35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6" totalsRowShown="0" headerRowDxfId="49">
  <autoFilter ref="A7:J26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143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5"/>
  <sheetViews>
    <sheetView showGridLines="0" workbookViewId="0">
      <pane ySplit="4" topLeftCell="A17" activePane="bottomLeft" state="frozen"/>
      <selection pane="bottomLeft" activeCell="A34" sqref="A34"/>
    </sheetView>
  </sheetViews>
  <sheetFormatPr defaultRowHeight="14.4" x14ac:dyDescent="0.3"/>
  <cols>
    <col min="1" max="1" width="39.5546875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141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140</v>
      </c>
    </row>
    <row r="30" spans="1:4" x14ac:dyDescent="0.3">
      <c r="A30" t="s">
        <v>145</v>
      </c>
    </row>
    <row r="31" spans="1:4" x14ac:dyDescent="0.3">
      <c r="A31" t="s">
        <v>146</v>
      </c>
    </row>
    <row r="32" spans="1:4" x14ac:dyDescent="0.3">
      <c r="A32" t="s">
        <v>149</v>
      </c>
    </row>
    <row r="33" spans="1:1" x14ac:dyDescent="0.3">
      <c r="A33" t="s">
        <v>144</v>
      </c>
    </row>
    <row r="34" spans="1:1" x14ac:dyDescent="0.3">
      <c r="A34" t="s">
        <v>147</v>
      </c>
    </row>
    <row r="35" spans="1:1" x14ac:dyDescent="0.3">
      <c r="A35" t="s">
        <v>148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6"/>
  <sheetViews>
    <sheetView showGridLines="0" workbookViewId="0">
      <pane ySplit="4" topLeftCell="A5" activePane="bottomLeft" state="frozen"/>
      <selection pane="bottomLeft" activeCell="A22" sqref="A22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3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141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>
        <v>45773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145</v>
      </c>
      <c r="F14" s="17">
        <v>257.47000000000003</v>
      </c>
      <c r="G14" s="17">
        <v>5.97</v>
      </c>
      <c r="H14" s="22">
        <f>Tabela4[[#This Row],[Custo total R$]]/Tabela4[[#This Row],[Preço por litro]]</f>
        <v>43.127303182579574</v>
      </c>
      <c r="I14" s="25">
        <v>88629</v>
      </c>
      <c r="J14" s="24">
        <v>343</v>
      </c>
    </row>
    <row r="15" spans="1:13" x14ac:dyDescent="0.3">
      <c r="A15" s="23">
        <v>45780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146</v>
      </c>
      <c r="F15" s="17">
        <v>250.44</v>
      </c>
      <c r="G15" s="17">
        <v>5.97</v>
      </c>
      <c r="H15" s="22">
        <f>Tabela4[[#This Row],[Custo total R$]]/Tabela4[[#This Row],[Preço por litro]]</f>
        <v>41.949748743718594</v>
      </c>
      <c r="I15" s="25">
        <v>88966</v>
      </c>
      <c r="J15" s="24">
        <v>337</v>
      </c>
    </row>
    <row r="16" spans="1:13" x14ac:dyDescent="0.3">
      <c r="A16" s="23">
        <v>45791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146</v>
      </c>
      <c r="F16" s="17">
        <v>253.15</v>
      </c>
      <c r="G16" s="17">
        <v>5.89</v>
      </c>
      <c r="H16" s="22">
        <f>Tabela4[[#This Row],[Custo total R$]]/Tabela4[[#This Row],[Preço por litro]]</f>
        <v>42.979626485568765</v>
      </c>
      <c r="I16" s="25">
        <v>89320</v>
      </c>
      <c r="J16" s="24">
        <v>354</v>
      </c>
    </row>
    <row r="17" spans="1:10" x14ac:dyDescent="0.3">
      <c r="A17" s="23">
        <v>45794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146</v>
      </c>
      <c r="F17" s="17">
        <v>219.46</v>
      </c>
      <c r="G17" s="17">
        <v>5.89</v>
      </c>
      <c r="H17" s="22">
        <f>Tabela4[[#This Row],[Custo total R$]]/Tabela4[[#This Row],[Preço por litro]]</f>
        <v>37.259762308998305</v>
      </c>
      <c r="I17" s="25">
        <v>89624</v>
      </c>
      <c r="J17" s="24">
        <v>304</v>
      </c>
    </row>
    <row r="18" spans="1:10" x14ac:dyDescent="0.3">
      <c r="A18" s="23">
        <v>45799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146</v>
      </c>
      <c r="F18" s="17">
        <v>248.15</v>
      </c>
      <c r="G18" s="17">
        <v>5.89</v>
      </c>
      <c r="H18" s="22">
        <f>Tabela4[[#This Row],[Custo total R$]]/Tabela4[[#This Row],[Preço por litro]]</f>
        <v>42.130730050933792</v>
      </c>
      <c r="I18" s="25">
        <v>89928</v>
      </c>
      <c r="J18" s="24">
        <v>304</v>
      </c>
    </row>
    <row r="19" spans="1:10" x14ac:dyDescent="0.3">
      <c r="A19" s="23">
        <v>45806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149</v>
      </c>
      <c r="F19" s="17">
        <v>249.84</v>
      </c>
      <c r="G19" s="17">
        <v>5.99</v>
      </c>
      <c r="H19" s="22">
        <f>Tabela4[[#This Row],[Custo total R$]]/Tabela4[[#This Row],[Preço por litro]]</f>
        <v>41.709515859766277</v>
      </c>
      <c r="I19" s="25">
        <v>90280</v>
      </c>
      <c r="J19" s="24">
        <v>352</v>
      </c>
    </row>
    <row r="20" spans="1:10" x14ac:dyDescent="0.3">
      <c r="A20" s="23">
        <v>45812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149</v>
      </c>
      <c r="F20" s="17">
        <v>260.68</v>
      </c>
      <c r="G20" s="17">
        <v>5.99</v>
      </c>
      <c r="H20" s="22">
        <f>Tabela4[[#This Row],[Custo total R$]]/Tabela4[[#This Row],[Preço por litro]]</f>
        <v>43.519198664440736</v>
      </c>
      <c r="I20" s="25">
        <v>90640</v>
      </c>
      <c r="J20" s="24">
        <v>360</v>
      </c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</sheetData>
  <phoneticPr fontId="18" type="noConversion"/>
  <dataValidations count="2">
    <dataValidation type="list" allowBlank="1" showInputMessage="1" showErrorMessage="1" sqref="B8:B26" xr:uid="{00000000-0002-0000-0300-000000000000}">
      <formula1>Placa</formula1>
    </dataValidation>
    <dataValidation type="list" allowBlank="1" showInputMessage="1" showErrorMessage="1" sqref="E8:E26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143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143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143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143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143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143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143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143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143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143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143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topLeftCell="B1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tabSelected="1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142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1">
        <v>7.9588266792894267</v>
      </c>
    </row>
    <row r="13" spans="1:15" x14ac:dyDescent="0.3">
      <c r="A13" s="34"/>
      <c r="B13" s="40" t="s">
        <v>13</v>
      </c>
      <c r="C13" s="97" t="s">
        <v>42</v>
      </c>
      <c r="D13" s="98" t="s">
        <v>98</v>
      </c>
      <c r="E13" s="98" t="s">
        <v>99</v>
      </c>
      <c r="F13" s="98" t="s">
        <v>100</v>
      </c>
      <c r="G13" s="35" t="s">
        <v>101</v>
      </c>
      <c r="J13" s="106" t="s">
        <v>102</v>
      </c>
      <c r="K13" s="105">
        <v>7.9588266792894267</v>
      </c>
    </row>
    <row r="14" spans="1:15" x14ac:dyDescent="0.3">
      <c r="A14" s="34"/>
      <c r="B14" s="34" t="s">
        <v>143</v>
      </c>
      <c r="C14" s="99">
        <v>45744</v>
      </c>
      <c r="D14" s="102">
        <v>100.01</v>
      </c>
      <c r="E14" s="103">
        <v>131</v>
      </c>
      <c r="F14" s="102">
        <v>0.76343511450381685</v>
      </c>
      <c r="G14" s="86">
        <v>7.9247075292470752</v>
      </c>
    </row>
    <row r="15" spans="1:15" x14ac:dyDescent="0.3">
      <c r="A15" s="34"/>
      <c r="B15" s="34"/>
      <c r="C15" s="99">
        <v>45753</v>
      </c>
      <c r="D15" s="102">
        <v>230.08</v>
      </c>
      <c r="E15" s="103">
        <v>305</v>
      </c>
      <c r="F15" s="102">
        <v>0.75436065573770494</v>
      </c>
      <c r="G15" s="86">
        <v>7.913986439499304</v>
      </c>
    </row>
    <row r="16" spans="1:15" x14ac:dyDescent="0.3">
      <c r="A16" s="34"/>
      <c r="B16" s="34"/>
      <c r="C16" s="99">
        <v>45756</v>
      </c>
      <c r="D16" s="102">
        <v>262.51</v>
      </c>
      <c r="E16" s="103">
        <v>347</v>
      </c>
      <c r="F16" s="102">
        <v>0.75651296829971182</v>
      </c>
      <c r="G16" s="86">
        <v>7.7592853605576932</v>
      </c>
    </row>
    <row r="17" spans="1:11" x14ac:dyDescent="0.3">
      <c r="A17" s="34"/>
      <c r="B17" s="34"/>
      <c r="C17" s="99">
        <v>45759</v>
      </c>
      <c r="D17" s="102">
        <v>249</v>
      </c>
      <c r="E17" s="103">
        <v>320</v>
      </c>
      <c r="F17" s="102">
        <v>0.77812499999999996</v>
      </c>
      <c r="G17" s="86">
        <v>7.697991967871487</v>
      </c>
    </row>
    <row r="18" spans="1:11" x14ac:dyDescent="0.3">
      <c r="A18" s="34"/>
      <c r="B18" s="34"/>
      <c r="C18" s="99">
        <v>45764</v>
      </c>
      <c r="D18" s="102">
        <v>264.92</v>
      </c>
      <c r="E18" s="103">
        <v>306</v>
      </c>
      <c r="F18" s="102">
        <v>0.86575163398692812</v>
      </c>
      <c r="G18" s="86">
        <v>7.4963762645326888</v>
      </c>
    </row>
    <row r="19" spans="1:11" x14ac:dyDescent="0.3">
      <c r="A19" s="34"/>
      <c r="B19" s="34"/>
      <c r="C19" s="99">
        <v>45770</v>
      </c>
      <c r="D19" s="102">
        <v>279.45999999999998</v>
      </c>
      <c r="E19" s="103">
        <v>359</v>
      </c>
      <c r="F19" s="102">
        <v>0.77844011142061276</v>
      </c>
      <c r="G19" s="86">
        <v>8.3371860015744659</v>
      </c>
    </row>
    <row r="20" spans="1:11" x14ac:dyDescent="0.3">
      <c r="A20" s="34"/>
      <c r="B20" s="34"/>
      <c r="C20" s="99">
        <v>45773</v>
      </c>
      <c r="D20" s="102">
        <v>257.47000000000003</v>
      </c>
      <c r="E20" s="103">
        <v>343</v>
      </c>
      <c r="F20" s="102">
        <v>0.75064139941690966</v>
      </c>
      <c r="G20" s="86">
        <v>7.9531984308851502</v>
      </c>
    </row>
    <row r="21" spans="1:11" x14ac:dyDescent="0.3">
      <c r="A21" s="34"/>
      <c r="B21" s="34"/>
      <c r="C21" s="99">
        <v>45780</v>
      </c>
      <c r="D21" s="102">
        <v>250.44</v>
      </c>
      <c r="E21" s="103">
        <v>337</v>
      </c>
      <c r="F21" s="102">
        <v>0.74314540059347178</v>
      </c>
      <c r="G21" s="86">
        <v>8.0334211787254439</v>
      </c>
    </row>
    <row r="22" spans="1:11" x14ac:dyDescent="0.3">
      <c r="A22" s="34"/>
      <c r="B22" s="34"/>
      <c r="C22" s="99">
        <v>45791</v>
      </c>
      <c r="D22" s="102">
        <v>253.15</v>
      </c>
      <c r="E22" s="103">
        <v>354</v>
      </c>
      <c r="F22" s="102">
        <v>0.71511299435028253</v>
      </c>
      <c r="G22" s="86">
        <v>8.2364605964842976</v>
      </c>
    </row>
    <row r="23" spans="1:11" x14ac:dyDescent="0.3">
      <c r="A23" s="34"/>
      <c r="B23" s="34"/>
      <c r="C23" s="99">
        <v>45794</v>
      </c>
      <c r="D23" s="102">
        <v>219.46</v>
      </c>
      <c r="E23" s="103">
        <v>304</v>
      </c>
      <c r="F23" s="102">
        <v>0.72190789473684214</v>
      </c>
      <c r="G23" s="86">
        <v>8.158935569124214</v>
      </c>
      <c r="J23" s="52"/>
      <c r="K23" s="52"/>
    </row>
    <row r="24" spans="1:11" x14ac:dyDescent="0.3">
      <c r="A24" s="34"/>
      <c r="B24" s="34"/>
      <c r="C24" s="99">
        <v>45799</v>
      </c>
      <c r="D24" s="102">
        <v>248.15</v>
      </c>
      <c r="E24" s="103">
        <v>304</v>
      </c>
      <c r="F24" s="102">
        <v>0.81628289473684212</v>
      </c>
      <c r="G24" s="86">
        <v>7.2156357042111612</v>
      </c>
      <c r="J24" s="52"/>
      <c r="K24" s="52"/>
    </row>
    <row r="25" spans="1:11" x14ac:dyDescent="0.3">
      <c r="A25" s="34"/>
      <c r="B25" s="34"/>
      <c r="C25" s="99">
        <v>45806</v>
      </c>
      <c r="D25" s="102">
        <v>249.84</v>
      </c>
      <c r="E25" s="103">
        <v>352</v>
      </c>
      <c r="F25" s="102">
        <v>0.70977272727272733</v>
      </c>
      <c r="G25" s="86">
        <v>8.4393211655459499</v>
      </c>
    </row>
    <row r="26" spans="1:11" x14ac:dyDescent="0.3">
      <c r="A26" s="34"/>
      <c r="B26" s="34"/>
      <c r="C26" s="99">
        <v>45812</v>
      </c>
      <c r="D26" s="102">
        <v>260.68</v>
      </c>
      <c r="E26" s="103">
        <v>360</v>
      </c>
      <c r="F26" s="102">
        <v>0.72411111111111115</v>
      </c>
      <c r="G26" s="86">
        <v>8.2722111400951359</v>
      </c>
    </row>
    <row r="27" spans="1:11" ht="15" thickBot="1" x14ac:dyDescent="0.35">
      <c r="B27" s="36" t="s">
        <v>102</v>
      </c>
      <c r="C27" s="37"/>
      <c r="D27" s="38">
        <v>3125.17</v>
      </c>
      <c r="E27" s="104">
        <v>4122</v>
      </c>
      <c r="F27" s="38">
        <v>0.7581683648714217</v>
      </c>
      <c r="G27" s="49">
        <v>7.9588266792894267</v>
      </c>
    </row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1">
        <v>4197</v>
      </c>
    </row>
    <row r="11" spans="1:13" x14ac:dyDescent="0.3">
      <c r="A11" s="40" t="s">
        <v>13</v>
      </c>
      <c r="B11" s="97" t="s">
        <v>15</v>
      </c>
      <c r="C11" s="97" t="s">
        <v>14</v>
      </c>
      <c r="D11" s="108" t="s">
        <v>28</v>
      </c>
      <c r="E11" s="108" t="s">
        <v>30</v>
      </c>
      <c r="F11" s="108" t="s">
        <v>125</v>
      </c>
      <c r="G11" s="108" t="s">
        <v>130</v>
      </c>
      <c r="H11" s="45" t="s">
        <v>107</v>
      </c>
      <c r="J11" s="11" t="s">
        <v>30</v>
      </c>
      <c r="K11" s="101">
        <v>60</v>
      </c>
    </row>
    <row r="12" spans="1:13" x14ac:dyDescent="0.3">
      <c r="A12" s="46" t="s">
        <v>143</v>
      </c>
      <c r="B12" s="98" t="s">
        <v>20</v>
      </c>
      <c r="C12" s="98" t="s">
        <v>19</v>
      </c>
      <c r="D12" s="107">
        <v>4197</v>
      </c>
      <c r="E12" s="107">
        <v>60</v>
      </c>
      <c r="F12" s="107">
        <v>100</v>
      </c>
      <c r="G12" s="107">
        <v>95</v>
      </c>
      <c r="H12" s="76">
        <v>4452</v>
      </c>
      <c r="J12" s="11" t="s">
        <v>125</v>
      </c>
      <c r="K12" s="101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1">
        <v>95</v>
      </c>
    </row>
    <row r="14" spans="1:13" x14ac:dyDescent="0.3">
      <c r="J14" s="11" t="s">
        <v>102</v>
      </c>
      <c r="K14" s="101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143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7" t="s">
        <v>42</v>
      </c>
      <c r="D14" s="98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143</v>
      </c>
      <c r="C15" s="99">
        <v>45748</v>
      </c>
      <c r="D15" s="100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2025-06-05T13:26:12Z</dcterms:modified>
  <cp:category/>
  <cp:contentStatus/>
</cp:coreProperties>
</file>
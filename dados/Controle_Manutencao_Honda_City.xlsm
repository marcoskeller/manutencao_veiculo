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slicers/slicer2.xml" ContentType="application/vnd.ms-excel.slicer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Projetos\Python\Manutencao_Veiculo\dados\"/>
    </mc:Choice>
  </mc:AlternateContent>
  <xr:revisionPtr revIDLastSave="0" documentId="13_ncr:1_{2E819045-D767-46AD-B0FB-E6FB0AC41C8A}" xr6:coauthVersionLast="47" xr6:coauthVersionMax="47" xr10:uidLastSave="{00000000-0000-0000-0000-000000000000}"/>
  <bookViews>
    <workbookView xWindow="-108" yWindow="-108" windowWidth="23256" windowHeight="12576" tabRatio="840" firstSheet="2" activeTab="3" xr2:uid="{00000000-000D-0000-FFFF-FFFF00000000}"/>
  </bookViews>
  <sheets>
    <sheet name="1. SOBRE" sheetId="1" r:id="rId1"/>
    <sheet name="2. CADASTRO DE VEÍCULOS" sheetId="3" r:id="rId2"/>
    <sheet name="3. CADASTROS GERAIS" sheetId="4" r:id="rId3"/>
    <sheet name="4. ABASTECIMENTOS" sheetId="5" r:id="rId4"/>
    <sheet name="5. MANUTENÇÕES" sheetId="6" r:id="rId5"/>
    <sheet name="6. TROCAS DE ÓLEO" sheetId="7" r:id="rId6"/>
    <sheet name="7. ANÁLISE GERAL" sheetId="8" r:id="rId7"/>
    <sheet name="7.1 Abastecimento" sheetId="10" r:id="rId8"/>
    <sheet name="7.2 Manutenção" sheetId="9" r:id="rId9"/>
    <sheet name="7.3 Troca de óleo" sheetId="11" r:id="rId10"/>
    <sheet name="8. TROCAS DE PNEUS" sheetId="12" r:id="rId11"/>
  </sheets>
  <definedNames>
    <definedName name="A" localSheetId="9">Tabela26[Oficinas]</definedName>
    <definedName name="A" localSheetId="10">Tabela26[Oficinas]</definedName>
    <definedName name="A">Tabela26[Oficinas]</definedName>
    <definedName name="B" localSheetId="9">Tabela3[Tipo de óleo]</definedName>
    <definedName name="B" localSheetId="10">Tabela3[Tipo de óleo]</definedName>
    <definedName name="B">Tabela3[Tipo de óleo]</definedName>
    <definedName name="D" localSheetId="9">Tabela3[]</definedName>
    <definedName name="D" localSheetId="10">Tabela3[]</definedName>
    <definedName name="D">Tabela3[]</definedName>
    <definedName name="E" localSheetId="9">Tabela1[Placa]</definedName>
    <definedName name="E" localSheetId="10">Tabela1[Placa]</definedName>
    <definedName name="E">Tabela1[Placa]</definedName>
    <definedName name="G" localSheetId="9">Tabela2[[Combustível ]]</definedName>
    <definedName name="G" localSheetId="10">Tabela2[[Combustível ]]</definedName>
    <definedName name="G">Tabela2[[Combustível ]]</definedName>
    <definedName name="Oficinas" localSheetId="7">Tabela26[Oficinas]</definedName>
    <definedName name="Oficinas" localSheetId="8">Tabela26[Oficinas]</definedName>
    <definedName name="Oficinas" localSheetId="9">Tabela26[Oficinas]</definedName>
    <definedName name="Oficinas" localSheetId="10">Tabela26[Oficinas]</definedName>
    <definedName name="Oficinas">Tabela26[Oficinas]</definedName>
    <definedName name="Oleo" localSheetId="7">Tabela3[Tipo de óleo]</definedName>
    <definedName name="Oleo" localSheetId="8">Tabela3[Tipo de óleo]</definedName>
    <definedName name="Oleo" localSheetId="9">Tabela3[Tipo de óleo]</definedName>
    <definedName name="Oleo" localSheetId="10">Tabela3[Tipo de óleo]</definedName>
    <definedName name="Oleo">Tabela3[Tipo de óleo]</definedName>
    <definedName name="Óleos" localSheetId="7">Tabela3[]</definedName>
    <definedName name="Óleos" localSheetId="8">Tabela3[]</definedName>
    <definedName name="Óleos" localSheetId="9">Tabela3[]</definedName>
    <definedName name="Óleos" localSheetId="10">Tabela3[]</definedName>
    <definedName name="Óleos">Tabela3[]</definedName>
    <definedName name="Placa" localSheetId="7">Tabela1[Placa]</definedName>
    <definedName name="Placa" localSheetId="8">Tabela1[Placa]</definedName>
    <definedName name="Placa" localSheetId="9">Tabela1[Placa]</definedName>
    <definedName name="Placa" localSheetId="10">Tabela1[Placa]</definedName>
    <definedName name="Placa">Tabela1[Placa]</definedName>
    <definedName name="Posto" localSheetId="7">Tabela2[[Combustível ]]</definedName>
    <definedName name="Posto" localSheetId="8">Tabela2[[Combustível ]]</definedName>
    <definedName name="Posto" localSheetId="9">Tabela2[[Combustível ]]</definedName>
    <definedName name="Posto" localSheetId="10">Tabela2[[Combustível ]]</definedName>
    <definedName name="Posto">Tabela2[[Combustível ]]</definedName>
    <definedName name="SegmentaçãodeDados_Fabricante">#N/A</definedName>
    <definedName name="SegmentaçãodeDados_Fabricante11">#N/A</definedName>
    <definedName name="SegmentaçãodeDados_Modelo11">#N/A</definedName>
    <definedName name="Servico" localSheetId="7">Tabela267[Serviços]</definedName>
    <definedName name="Servico" localSheetId="9">Tabela267[Serviços]</definedName>
    <definedName name="Servico" localSheetId="10">Tabela267[Serviços]</definedName>
    <definedName name="Servico">Tabela267[Serviços]</definedName>
    <definedName name="Serviços" localSheetId="7">Tabela267[Serviços]</definedName>
    <definedName name="Serviços" localSheetId="8">Tabela267[Serviços]</definedName>
    <definedName name="Serviços" localSheetId="9">Tabela267[Serviços]</definedName>
    <definedName name="Serviços" localSheetId="10">Tabela267[Serviços]</definedName>
    <definedName name="Serviços">Tabela267[Serviços]</definedName>
    <definedName name="TipoOleo" localSheetId="7">Tabela3[Tipo de óleo]</definedName>
    <definedName name="TipoOleo" localSheetId="8">Tabela3[Tipo de óleo]</definedName>
    <definedName name="TipoOleo" localSheetId="9">Tabela3[Tipo de óleo]</definedName>
    <definedName name="TipoOleo" localSheetId="10">Tabela3[Tipo de óleo]</definedName>
    <definedName name="TipoOleo">Tabela3[Tipo de óleo]</definedName>
  </definedNames>
  <calcPr calcId="191028"/>
  <pivotCaches>
    <pivotCache cacheId="0" r:id="rId12"/>
    <pivotCache cacheId="1" r:id="rId13"/>
    <pivotCache cacheId="2" r:id="rId14"/>
  </pivotCaches>
  <extLs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" i="5" l="1"/>
  <c r="D9" i="5"/>
  <c r="C9" i="5"/>
  <c r="M8" i="12"/>
  <c r="D8" i="12"/>
  <c r="C8" i="12"/>
  <c r="D36" i="6"/>
  <c r="C36" i="6"/>
  <c r="D35" i="6"/>
  <c r="C35" i="6"/>
  <c r="D34" i="6"/>
  <c r="C34" i="6"/>
  <c r="D33" i="6"/>
  <c r="C33" i="6"/>
  <c r="C32" i="6"/>
  <c r="D32" i="6"/>
  <c r="D31" i="6"/>
  <c r="C31" i="6"/>
  <c r="D30" i="6"/>
  <c r="C30" i="6"/>
  <c r="D29" i="6"/>
  <c r="C29" i="6"/>
  <c r="D28" i="6"/>
  <c r="C28" i="6"/>
  <c r="D27" i="6"/>
  <c r="C27" i="6"/>
  <c r="D26" i="6"/>
  <c r="C26" i="6"/>
  <c r="D25" i="6"/>
  <c r="C25" i="6"/>
  <c r="D24" i="6"/>
  <c r="C24" i="6"/>
  <c r="D23" i="6"/>
  <c r="C23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D15" i="6"/>
  <c r="C15" i="6"/>
  <c r="D14" i="6"/>
  <c r="C14" i="6"/>
  <c r="D13" i="6"/>
  <c r="C13" i="6"/>
  <c r="D12" i="6"/>
  <c r="C12" i="6"/>
  <c r="D11" i="6"/>
  <c r="C11" i="6"/>
  <c r="D10" i="6"/>
  <c r="C10" i="6"/>
  <c r="D9" i="6"/>
  <c r="C9" i="6"/>
  <c r="D8" i="7"/>
  <c r="C8" i="7"/>
  <c r="G8" i="7"/>
  <c r="M8" i="7" l="1"/>
  <c r="D8" i="6"/>
  <c r="C8" i="6"/>
  <c r="D8" i="5"/>
  <c r="C8" i="5"/>
  <c r="H8" i="5"/>
  <c r="K10" i="11" l="1" a="1"/>
  <c r="K10" i="11" s="1"/>
  <c r="L10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A4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 xml:space="preserve">1. SOBRE: </t>
        </r>
        <r>
          <rPr>
            <sz val="9"/>
            <color indexed="81"/>
            <rFont val="Segoe UI"/>
            <family val="2"/>
          </rPr>
          <t xml:space="preserve">
Objetivo do arquivo, licença de uso, como contribuir e informações sobre a utilização do arquivo.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B4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 xml:space="preserve">2. CADASTRO DE VEÍCULOS: </t>
        </r>
        <r>
          <rPr>
            <sz val="9"/>
            <color indexed="81"/>
            <rFont val="Segoe UI"/>
            <family val="2"/>
          </rPr>
          <t xml:space="preserve">
Registre nesta aba todos os veículos da sua frota.</t>
        </r>
      </text>
    </comment>
  </commentList>
</comments>
</file>

<file path=xl/sharedStrings.xml><?xml version="1.0" encoding="utf-8"?>
<sst xmlns="http://schemas.openxmlformats.org/spreadsheetml/2006/main" count="413" uniqueCount="144">
  <si>
    <t>Desenvolvido por:</t>
  </si>
  <si>
    <t>Planilha de controle de manutenção de veículos 2.0</t>
  </si>
  <si>
    <t>1. SOBRE</t>
  </si>
  <si>
    <t>2. CADASTRO DE VEÍCULOS</t>
  </si>
  <si>
    <t>3. CADASTROS GERAIS</t>
  </si>
  <si>
    <t>4. ABASTECIMENTOS</t>
  </si>
  <si>
    <t>5. MANUTENÇÕES</t>
  </si>
  <si>
    <t>6. TROCAS DE ÓLEO</t>
  </si>
  <si>
    <t>7. ANÁLISE GERAL</t>
  </si>
  <si>
    <t>Versão Profissional</t>
  </si>
  <si>
    <t>Conheça também a versão profissional da planilha de gestão de frota.</t>
  </si>
  <si>
    <t>Esta versão possui banco de dados, cadastros, relatórios e dashboard completo para gestão da frota da sua emrpesa.</t>
  </si>
  <si>
    <t>Cadastro de veículos</t>
  </si>
  <si>
    <t>Placa</t>
  </si>
  <si>
    <t>Fabricante</t>
  </si>
  <si>
    <t>Modelo</t>
  </si>
  <si>
    <t>Tipo</t>
  </si>
  <si>
    <t>Ano</t>
  </si>
  <si>
    <t>OXB4464</t>
  </si>
  <si>
    <t>HONDA</t>
  </si>
  <si>
    <t>CITY SEDAN EX 1.5 FLEX 16V 4P AUTOMATICO</t>
  </si>
  <si>
    <t>CADASTROS GERAIS</t>
  </si>
  <si>
    <t>Tipo de óleo</t>
  </si>
  <si>
    <t>Intervalo de troca</t>
  </si>
  <si>
    <t>Serviços</t>
  </si>
  <si>
    <t>HONDA -  Pro Honda 0W-20</t>
  </si>
  <si>
    <t>Lataria e pintura</t>
  </si>
  <si>
    <t>Shell Helix Ultra 5W-30</t>
  </si>
  <si>
    <t>Mecânica</t>
  </si>
  <si>
    <t>Mobil 1 0W-20</t>
  </si>
  <si>
    <t>Pneus</t>
  </si>
  <si>
    <t>Idemitsu 0W-20</t>
  </si>
  <si>
    <t>Lavação</t>
  </si>
  <si>
    <t>Peça</t>
  </si>
  <si>
    <t>Mão de Obra</t>
  </si>
  <si>
    <t xml:space="preserve">Combustível </t>
  </si>
  <si>
    <t>Oficinas</t>
  </si>
  <si>
    <t>Forza Mecanica - Walber</t>
  </si>
  <si>
    <t>Alcool</t>
  </si>
  <si>
    <t>Mil Milhas - Laercio</t>
  </si>
  <si>
    <t>Forcar - Fontana Airolo</t>
  </si>
  <si>
    <t>ABASTECIMENTOS</t>
  </si>
  <si>
    <t>Data</t>
  </si>
  <si>
    <t>Custo total R$</t>
  </si>
  <si>
    <t>Preço por litro</t>
  </si>
  <si>
    <t>Litros abastecidos</t>
  </si>
  <si>
    <t>Quilometragem do hodômetro (Km)</t>
  </si>
  <si>
    <t>Km percorridos</t>
  </si>
  <si>
    <t>MANUTENÇÕES</t>
  </si>
  <si>
    <t>Estabelecimento</t>
  </si>
  <si>
    <t>Tipo de serviço</t>
  </si>
  <si>
    <t>Descrição do serviço</t>
  </si>
  <si>
    <t>FERRAMENTA LIQUIDA SHOCK TREATMENT FEX S01 FLEX</t>
  </si>
  <si>
    <t>ADITIVO ARREFECIMENTO</t>
  </si>
  <si>
    <t>BLUE OCTANE FEX FEX 001</t>
  </si>
  <si>
    <t>BUCHA DA BARRA</t>
  </si>
  <si>
    <t>CLEANER RAD - LIMPA RADIADOR</t>
  </si>
  <si>
    <t>CORREIA AUXILIAR</t>
  </si>
  <si>
    <t>DESCARBONIZANTE TEEFAX 100114</t>
  </si>
  <si>
    <t>FILTRO DE AR</t>
  </si>
  <si>
    <t>FILTRO DE CABINE</t>
  </si>
  <si>
    <t>FILTRO DE GASOLINA</t>
  </si>
  <si>
    <t>FILTRO DE ÓLEO</t>
  </si>
  <si>
    <t>JOGO DE PASTILHA DIANTEIRA</t>
  </si>
  <si>
    <t>JUNTA DA TAMPA DE VALVULA</t>
  </si>
  <si>
    <t>PALHETA DE PARABRISA</t>
  </si>
  <si>
    <t>PASTILHA TRASEIRA DE FREIO</t>
  </si>
  <si>
    <t>SUPORTE DE MOTOR</t>
  </si>
  <si>
    <t>VELAS DE IGNIÇÃO</t>
  </si>
  <si>
    <t>BALANCEAMENTO DE RODAS</t>
  </si>
  <si>
    <t>HIGIENIZAÇÃO POR OZÔNIO</t>
  </si>
  <si>
    <t>ATIVAÇÃO DA FERRAMENTA LIQUIDA</t>
  </si>
  <si>
    <t>SUBST. DE VELAS E LIMPEZA DO TBI</t>
  </si>
  <si>
    <t>REGULAGEM DE VALVULA</t>
  </si>
  <si>
    <t>SUBST. DE CORREIA DE SERVIÇO</t>
  </si>
  <si>
    <t>SUBST. DO COXIM DO MOTOR</t>
  </si>
  <si>
    <t>SUBST. DAS BUCHAS DA BARRA ESTABILIZADORA</t>
  </si>
  <si>
    <t>REVISÃO DE ARREFECIMENTO</t>
  </si>
  <si>
    <t>SUBST. DE PASTILHAS DIANT.</t>
  </si>
  <si>
    <t>SUBST. DE PASTILHAS TRAS.</t>
  </si>
  <si>
    <t>TROCA DE ÓLEO</t>
  </si>
  <si>
    <t>Óleo</t>
  </si>
  <si>
    <t>KM Óleo</t>
  </si>
  <si>
    <t>Filtro de óleo</t>
  </si>
  <si>
    <t>Filtro de combustível</t>
  </si>
  <si>
    <t>Custo total</t>
  </si>
  <si>
    <t>Quilometragem (Km)</t>
  </si>
  <si>
    <t>Próxima troca (Km)</t>
  </si>
  <si>
    <t>Sim</t>
  </si>
  <si>
    <t>Não</t>
  </si>
  <si>
    <t>7.1 Abastecimento</t>
  </si>
  <si>
    <t>ANÁLISE ABASTECIMENTO</t>
  </si>
  <si>
    <t>&lt;--VOLTAR PARA 7. ANÁLISE GERAL</t>
  </si>
  <si>
    <t>ATUALIZAR GRÁFICO E TABELA</t>
  </si>
  <si>
    <t>QUADRO DE ABASTECIMENTO</t>
  </si>
  <si>
    <t>Rótulos de Linha</t>
  </si>
  <si>
    <t>Média de Km/L</t>
  </si>
  <si>
    <t xml:space="preserve"> </t>
  </si>
  <si>
    <t>Custo Total</t>
  </si>
  <si>
    <t>Km Total</t>
  </si>
  <si>
    <t>Custo/L Média</t>
  </si>
  <si>
    <t>Km/L Média</t>
  </si>
  <si>
    <t>Total Geral</t>
  </si>
  <si>
    <t>7.2 Manutenção</t>
  </si>
  <si>
    <t>ANÁLISE MANUTENÇÃO</t>
  </si>
  <si>
    <t>QUADRO DE MANUTENÇÃO</t>
  </si>
  <si>
    <t>Soma de Custo total R$</t>
  </si>
  <si>
    <t>Total</t>
  </si>
  <si>
    <t>7.3 Troca de óleo</t>
  </si>
  <si>
    <t>PRÓXIMA TROCA DE ÓLEO</t>
  </si>
  <si>
    <t>Últ. Abast.</t>
  </si>
  <si>
    <t>Próx. Troca</t>
  </si>
  <si>
    <t>Alerta</t>
  </si>
  <si>
    <t>QUADRO DE TROCA DE ÓLEO</t>
  </si>
  <si>
    <t xml:space="preserve">Custo Total </t>
  </si>
  <si>
    <t>% do total</t>
  </si>
  <si>
    <t>8. TROCAS DE PNEUS</t>
  </si>
  <si>
    <t>KM Pneus</t>
  </si>
  <si>
    <t>Alinhamento</t>
  </si>
  <si>
    <t>Balanceamento</t>
  </si>
  <si>
    <t>Goodyear Aro 16 Eagle Sport 2 185/55R16</t>
  </si>
  <si>
    <t>TROCA DE PNEUS</t>
  </si>
  <si>
    <t>Comprei o veículo nessa data com os 4 pneus novos.</t>
  </si>
  <si>
    <t>Kiko Veículos</t>
  </si>
  <si>
    <t>Oficina Amigo 5</t>
  </si>
  <si>
    <t>Ar Condicionado</t>
  </si>
  <si>
    <t>Continental Aro 16 185/55r16 83v Fr PowerContact3</t>
  </si>
  <si>
    <t>FUNCHS TITAN SYN SYN GF6 0W-20</t>
  </si>
  <si>
    <t>Goodyear Aro 16 Eagle Sport 2 185/55R17</t>
  </si>
  <si>
    <t>ÓLEO DE MOTOR 0W20</t>
  </si>
  <si>
    <t>Vidros</t>
  </si>
  <si>
    <t>De acordo com o Manual do Honda City 2014 utilize o Óleo Pro Honda 0W20.</t>
  </si>
  <si>
    <t>Observação</t>
  </si>
  <si>
    <t>CITY</t>
  </si>
  <si>
    <t>PASSEIO</t>
  </si>
  <si>
    <t>Tipo de Combustivel</t>
  </si>
  <si>
    <t>Qualificacao do Serviço</t>
  </si>
  <si>
    <t>(Vários itens)</t>
  </si>
  <si>
    <t>Gasolina Comum</t>
  </si>
  <si>
    <t>Gasolina Podium</t>
  </si>
  <si>
    <t>Gasolina Aditivada Ipimax</t>
  </si>
  <si>
    <t>Posto Amigo 7</t>
  </si>
  <si>
    <t>Gasolina Aditivada Shell Power</t>
  </si>
  <si>
    <t>Gasolina Aditivada Petrobras Grid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</si>
</sst>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&quot;R$&quot;\ #,##0.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9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9" tint="0.59999389629810485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000000"/>
      <name val="Calibri"/>
      <charset val="1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theme="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99">
    <xf numFmtId="0" fontId="0" fillId="0" borderId="0" xfId="0"/>
    <xf numFmtId="0" fontId="0" fillId="2" borderId="0" xfId="0" applyFill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0" fillId="2" borderId="0" xfId="0" applyFill="1"/>
    <xf numFmtId="0" fontId="5" fillId="2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/>
    </xf>
    <xf numFmtId="0" fontId="2" fillId="0" borderId="0" xfId="0" applyFont="1"/>
    <xf numFmtId="0" fontId="5" fillId="3" borderId="1" xfId="3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centerContinuous"/>
    </xf>
    <xf numFmtId="43" fontId="0" fillId="0" borderId="0" xfId="1" applyFont="1"/>
    <xf numFmtId="14" fontId="0" fillId="0" borderId="0" xfId="0" applyNumberFormat="1"/>
    <xf numFmtId="0" fontId="12" fillId="0" borderId="0" xfId="0" applyFont="1"/>
    <xf numFmtId="44" fontId="0" fillId="0" borderId="0" xfId="2" applyFont="1"/>
    <xf numFmtId="49" fontId="11" fillId="2" borderId="0" xfId="0" applyNumberFormat="1" applyFont="1" applyFill="1" applyAlignment="1">
      <alignment horizontal="centerContinuous"/>
    </xf>
    <xf numFmtId="44" fontId="11" fillId="2" borderId="0" xfId="2" applyFont="1" applyFill="1" applyAlignment="1">
      <alignment horizontal="centerContinuous"/>
    </xf>
    <xf numFmtId="0" fontId="4" fillId="0" borderId="0" xfId="0" applyFont="1"/>
    <xf numFmtId="0" fontId="12" fillId="0" borderId="0" xfId="0" applyFont="1" applyAlignment="1">
      <alignment horizontal="left"/>
    </xf>
    <xf numFmtId="4" fontId="12" fillId="0" borderId="0" xfId="0" applyNumberFormat="1" applyFont="1"/>
    <xf numFmtId="14" fontId="0" fillId="0" borderId="0" xfId="0" applyNumberFormat="1" applyAlignment="1">
      <alignment horizontal="center"/>
    </xf>
    <xf numFmtId="164" fontId="12" fillId="0" borderId="0" xfId="1" applyNumberFormat="1" applyFont="1"/>
    <xf numFmtId="164" fontId="0" fillId="0" borderId="0" xfId="1" applyNumberFormat="1" applyFont="1"/>
    <xf numFmtId="0" fontId="13" fillId="2" borderId="0" xfId="0" applyFont="1" applyFill="1" applyAlignment="1">
      <alignment horizontal="centerContinuous"/>
    </xf>
    <xf numFmtId="43" fontId="13" fillId="2" borderId="0" xfId="1" applyFont="1" applyFill="1" applyAlignment="1">
      <alignment horizontal="centerContinuous"/>
    </xf>
    <xf numFmtId="164" fontId="12" fillId="0" borderId="0" xfId="0" applyNumberFormat="1" applyFont="1"/>
    <xf numFmtId="0" fontId="14" fillId="0" borderId="0" xfId="0" applyFont="1"/>
    <xf numFmtId="0" fontId="14" fillId="2" borderId="0" xfId="0" applyFont="1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8" xfId="0" applyNumberFormat="1" applyBorder="1"/>
    <xf numFmtId="165" fontId="0" fillId="0" borderId="9" xfId="0" applyNumberFormat="1" applyBorder="1"/>
    <xf numFmtId="0" fontId="0" fillId="0" borderId="5" xfId="0" pivotButton="1" applyBorder="1"/>
    <xf numFmtId="0" fontId="0" fillId="0" borderId="0" xfId="0" pivotButton="1"/>
    <xf numFmtId="0" fontId="0" fillId="0" borderId="2" xfId="0" pivotButton="1" applyBorder="1"/>
    <xf numFmtId="0" fontId="0" fillId="0" borderId="3" xfId="0" pivotButton="1" applyBorder="1"/>
    <xf numFmtId="0" fontId="0" fillId="0" borderId="10" xfId="0" pivotButton="1" applyBorder="1"/>
    <xf numFmtId="0" fontId="4" fillId="0" borderId="6" xfId="0" applyFont="1" applyBorder="1"/>
    <xf numFmtId="0" fontId="4" fillId="0" borderId="5" xfId="0" applyFont="1" applyBorder="1"/>
    <xf numFmtId="0" fontId="0" fillId="2" borderId="0" xfId="0" applyFill="1" applyAlignment="1">
      <alignment horizontal="centerContinuous"/>
    </xf>
    <xf numFmtId="0" fontId="14" fillId="2" borderId="0" xfId="3" applyFont="1" applyFill="1"/>
    <xf numFmtId="4" fontId="0" fillId="0" borderId="6" xfId="0" applyNumberFormat="1" applyBorder="1"/>
    <xf numFmtId="4" fontId="0" fillId="0" borderId="9" xfId="0" applyNumberFormat="1" applyBorder="1"/>
    <xf numFmtId="0" fontId="14" fillId="2" borderId="0" xfId="0" applyFont="1" applyFill="1" applyAlignment="1">
      <alignment horizontal="centerContinuous"/>
    </xf>
    <xf numFmtId="0" fontId="0" fillId="3" borderId="0" xfId="0" applyFill="1"/>
    <xf numFmtId="0" fontId="3" fillId="0" borderId="0" xfId="0" applyFont="1"/>
    <xf numFmtId="49" fontId="0" fillId="0" borderId="0" xfId="0" applyNumberFormat="1"/>
    <xf numFmtId="164" fontId="0" fillId="0" borderId="0" xfId="1" applyNumberFormat="1" applyFont="1" applyBorder="1"/>
    <xf numFmtId="0" fontId="15" fillId="0" borderId="0" xfId="0" applyFont="1"/>
    <xf numFmtId="0" fontId="13" fillId="4" borderId="0" xfId="0" applyFont="1" applyFill="1" applyAlignment="1">
      <alignment horizontal="center"/>
    </xf>
    <xf numFmtId="0" fontId="13" fillId="2" borderId="15" xfId="0" applyFont="1" applyFill="1" applyBorder="1" applyAlignment="1">
      <alignment horizontal="centerContinuous"/>
    </xf>
    <xf numFmtId="0" fontId="14" fillId="2" borderId="15" xfId="0" applyFont="1" applyFill="1" applyBorder="1" applyAlignment="1">
      <alignment horizontal="centerContinuous"/>
    </xf>
    <xf numFmtId="0" fontId="11" fillId="0" borderId="0" xfId="0" applyFont="1" applyAlignment="1">
      <alignment horizontal="centerContinuous"/>
    </xf>
    <xf numFmtId="49" fontId="11" fillId="0" borderId="0" xfId="0" applyNumberFormat="1" applyFont="1" applyAlignment="1">
      <alignment horizontal="centerContinuous"/>
    </xf>
    <xf numFmtId="44" fontId="11" fillId="0" borderId="0" xfId="2" applyFont="1" applyFill="1" applyAlignment="1">
      <alignment horizontal="centerContinuous"/>
    </xf>
    <xf numFmtId="0" fontId="0" fillId="0" borderId="0" xfId="0" applyAlignment="1">
      <alignment horizontal="centerContinuous"/>
    </xf>
    <xf numFmtId="0" fontId="14" fillId="0" borderId="0" xfId="3" applyFont="1" applyFill="1"/>
    <xf numFmtId="10" fontId="0" fillId="0" borderId="6" xfId="0" applyNumberFormat="1" applyBorder="1"/>
    <xf numFmtId="4" fontId="0" fillId="0" borderId="8" xfId="0" applyNumberFormat="1" applyBorder="1"/>
    <xf numFmtId="10" fontId="0" fillId="0" borderId="9" xfId="0" applyNumberFormat="1" applyBorder="1"/>
    <xf numFmtId="0" fontId="9" fillId="0" borderId="0" xfId="3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0" fontId="5" fillId="3" borderId="0" xfId="3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3" fontId="4" fillId="0" borderId="0" xfId="1" applyFont="1" applyAlignment="1">
      <alignment horizontal="center"/>
    </xf>
    <xf numFmtId="14" fontId="0" fillId="0" borderId="11" xfId="0" applyNumberFormat="1" applyBorder="1" applyAlignment="1">
      <alignment horizontal="left"/>
    </xf>
    <xf numFmtId="0" fontId="0" fillId="0" borderId="0" xfId="0" applyAlignment="1">
      <alignment horizontal="left" vertical="top" wrapText="1"/>
    </xf>
    <xf numFmtId="165" fontId="4" fillId="0" borderId="6" xfId="0" applyNumberFormat="1" applyFont="1" applyBorder="1"/>
    <xf numFmtId="0" fontId="4" fillId="0" borderId="0" xfId="0" applyFont="1" applyAlignment="1">
      <alignment horizontal="center" vertical="center"/>
    </xf>
    <xf numFmtId="0" fontId="0" fillId="0" borderId="0" xfId="1" applyNumberFormat="1" applyFont="1"/>
    <xf numFmtId="165" fontId="0" fillId="0" borderId="0" xfId="0" applyNumberFormat="1"/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49" fontId="0" fillId="0" borderId="0" xfId="0" applyNumberFormat="1" applyAlignment="1">
      <alignment horizontal="center"/>
    </xf>
    <xf numFmtId="0" fontId="10" fillId="0" borderId="0" xfId="0" applyFont="1" applyAlignment="1">
      <alignment horizontal="center"/>
    </xf>
    <xf numFmtId="44" fontId="4" fillId="0" borderId="0" xfId="2" applyFont="1" applyAlignment="1">
      <alignment horizontal="center"/>
    </xf>
    <xf numFmtId="4" fontId="0" fillId="0" borderId="0" xfId="0" applyNumberFormat="1"/>
    <xf numFmtId="0" fontId="3" fillId="0" borderId="0" xfId="0" applyFont="1" applyAlignment="1">
      <alignment horizontal="left"/>
    </xf>
    <xf numFmtId="165" fontId="4" fillId="0" borderId="0" xfId="0" applyNumberFormat="1" applyFont="1"/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5" fillId="3" borderId="12" xfId="3" applyFont="1" applyFill="1" applyBorder="1" applyAlignment="1">
      <alignment horizontal="center" vertical="center"/>
    </xf>
    <xf numFmtId="0" fontId="5" fillId="3" borderId="13" xfId="3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/>
    </xf>
  </cellXfs>
  <cellStyles count="4">
    <cellStyle name="Hiperlink" xfId="3" builtinId="8"/>
    <cellStyle name="Moeda" xfId="2" builtinId="4"/>
    <cellStyle name="Normal" xfId="0" builtinId="0"/>
    <cellStyle name="Vírgula" xfId="1" builtinId="3"/>
  </cellStyles>
  <dxfs count="52"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0.59999389629810485"/>
        <name val="Calibri"/>
        <scheme val="minor"/>
      </font>
      <fill>
        <patternFill patternType="solid">
          <fgColor theme="4"/>
          <bgColor theme="9" tint="-0.249977111117893"/>
        </patternFill>
      </fill>
      <alignment horizontal="center" vertical="bottom" textRotation="0" wrapText="0" indent="0" justifyLastLine="0" shrinkToFit="0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theme="0"/>
      </font>
    </dxf>
    <dxf>
      <font>
        <color theme="0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3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[Controle_Manutencao_Honda_City.xlsm]7.1 Abastecimento!Tabela dinâmica6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Média de KM/L</a:t>
            </a:r>
          </a:p>
        </c:rich>
      </c:tx>
      <c:layout>
        <c:manualLayout>
          <c:xMode val="edge"/>
          <c:yMode val="edge"/>
          <c:x val="0.36365259220646196"/>
          <c:y val="5.8143773694954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5085096070308285E-2"/>
          <c:y val="0.21133821813939929"/>
          <c:w val="0.92936321984142223"/>
          <c:h val="0.585130139982502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'7.1 Abastecimento'!$K$11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'7.1 Abastecimento'!$J$12:$J$13</c:f>
              <c:strCache>
                <c:ptCount val="1"/>
                <c:pt idx="0">
                  <c:v>CITY SEDAN EX 1.5 FLEX 16V 4P AUTOMATICO</c:v>
                </c:pt>
              </c:strCache>
            </c:strRef>
          </c:cat>
          <c:val>
            <c:numRef>
              <c:f>'7.1 Abastecimento'!$K$12:$K$13</c:f>
              <c:numCache>
                <c:formatCode>General</c:formatCode>
                <c:ptCount val="1"/>
                <c:pt idx="0">
                  <c:v>11.894322679317682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F7-47A6-8502-FE2773190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68442416"/>
        <c:axId val="1568441328"/>
      </c:barChart>
      <c:catAx>
        <c:axId val="156844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1328"/>
        <c:crosses val="autoZero"/>
        <c:auto val="1"/>
        <c:lblAlgn val="ctr"/>
        <c:lblOffset val="100"/>
        <c:noMultiLvlLbl val="0"/>
      </c:catAx>
      <c:valAx>
        <c:axId val="156844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[Controle_Manutencao_Honda_City.xlsm]7.2 Manutenção!Tabela dinâmica2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9656584488651769"/>
          <c:y val="5.3641732283464576E-2"/>
          <c:w val="0.42990142604970349"/>
          <c:h val="0.83457614832254634"/>
        </c:manualLayout>
      </c:layout>
      <c:pieChart>
        <c:varyColors val="1"/>
        <c:ser>
          <c:idx val="0"/>
          <c:order val="0"/>
          <c:tx>
            <c:strRef>
              <c:f>'7.2 Manutenção'!$K$9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3D5-4357-83ED-533EACCF665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3D5-4357-83ED-533EACCF665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3D5-4357-83ED-533EACCF665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3D5-4357-83ED-533EACCF66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'7.2 Manutenção'!$J$10:$J$14</c:f>
              <c:strCache>
                <c:ptCount val="4"/>
                <c:pt idx="0">
                  <c:v>Mecânica</c:v>
                </c:pt>
                <c:pt idx="1">
                  <c:v>Pneus</c:v>
                </c:pt>
                <c:pt idx="2">
                  <c:v>Ar Condicionado</c:v>
                </c:pt>
                <c:pt idx="3">
                  <c:v>Vidros</c:v>
                </c:pt>
              </c:strCache>
            </c:strRef>
          </c:cat>
          <c:val>
            <c:numRef>
              <c:f>'7.2 Manutenção'!$K$10:$K$14</c:f>
              <c:numCache>
                <c:formatCode>General</c:formatCode>
                <c:ptCount val="4"/>
                <c:pt idx="0">
                  <c:v>4197</c:v>
                </c:pt>
                <c:pt idx="1">
                  <c:v>60</c:v>
                </c:pt>
                <c:pt idx="2">
                  <c:v>100</c:v>
                </c:pt>
                <c:pt idx="3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D5-4357-83ED-533EACCF6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2.7892292477748746E-2"/>
          <c:y val="0.28131707494896474"/>
          <c:w val="0.28746200175859632"/>
          <c:h val="0.645672205899490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loja.guiadoexcel.com.br/produto/planilha-de-controle-e-manutencao-de-veiculos-excel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guiadoexcel.com.br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7.3 Troca de &#243;leo'!K4"/><Relationship Id="rId2" Type="http://schemas.openxmlformats.org/officeDocument/2006/relationships/hyperlink" Target="#'7.2 Manuten&#231;&#227;o'!K4"/><Relationship Id="rId1" Type="http://schemas.openxmlformats.org/officeDocument/2006/relationships/hyperlink" Target="#'7.1 Abastecimento'!K4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4</xdr:row>
      <xdr:rowOff>85725</xdr:rowOff>
    </xdr:from>
    <xdr:to>
      <xdr:col>3</xdr:col>
      <xdr:colOff>819150</xdr:colOff>
      <xdr:row>21</xdr:row>
      <xdr:rowOff>76200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85775" y="1171575"/>
          <a:ext cx="5638800" cy="3228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Objetivo da planilh</a:t>
          </a:r>
          <a:r>
            <a:rPr lang="pt-BR" sz="1100" b="1" baseline="0"/>
            <a:t>a de controle de manutenção de veículos 2.0</a:t>
          </a:r>
        </a:p>
        <a:p>
          <a:pPr algn="ctr"/>
          <a:endParaRPr lang="pt-BR" sz="1100" b="1" baseline="0"/>
        </a:p>
        <a:p>
          <a:pPr algn="just"/>
          <a:r>
            <a:rPr lang="pt-BR" sz="1100" b="0" baseline="0"/>
            <a:t>Tem por objetivo registrar e analisar dados relacionados a frotas de veículos de uma empresa.</a:t>
          </a:r>
        </a:p>
        <a:p>
          <a:pPr algn="l"/>
          <a:endParaRPr lang="pt-BR" sz="1100" b="0" baseline="0"/>
        </a:p>
        <a:p>
          <a:pPr algn="ctr"/>
          <a:r>
            <a:rPr lang="pt-BR" sz="1100" b="1" baseline="0"/>
            <a:t>Licença de uso</a:t>
          </a:r>
        </a:p>
        <a:p>
          <a:pPr algn="ctr"/>
          <a:endParaRPr lang="pt-BR" sz="1100" b="1" baseline="0"/>
        </a:p>
        <a:p>
          <a:pPr algn="just"/>
          <a:r>
            <a:rPr lang="pt-BR" sz="1100" b="0"/>
            <a:t>Este</a:t>
          </a:r>
          <a:r>
            <a:rPr lang="pt-BR" sz="1100" b="0" baseline="0"/>
            <a:t> arquivo Excel tem seu conteúdo gratuitamente liberado para estudos, utilização e alterações, não pode ser comercializado ou divulgado em outros sites ou mídias.</a:t>
          </a:r>
        </a:p>
        <a:p>
          <a:pPr algn="just"/>
          <a:endParaRPr lang="pt-BR" sz="1100" b="0" baseline="0"/>
        </a:p>
        <a:p>
          <a:pPr algn="just"/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Contribuições</a:t>
          </a:r>
          <a:endParaRPr lang="pt-BR">
            <a:effectLst/>
          </a:endParaRPr>
        </a:p>
        <a:p>
          <a:endParaRPr lang="pt-BR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just"/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Caso realize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modificações neste arquivo ou tenha artigos para contribuir envie para </a:t>
          </a:r>
          <a:r>
            <a:rPr lang="pt-BR" sz="1100" b="0" i="0" u="sng" baseline="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guiadoexcel@gmail.com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para analisarmos o material.</a:t>
          </a:r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2</xdr:col>
      <xdr:colOff>1714500</xdr:colOff>
      <xdr:row>11</xdr:row>
      <xdr:rowOff>28575</xdr:rowOff>
    </xdr:from>
    <xdr:to>
      <xdr:col>3</xdr:col>
      <xdr:colOff>723900</xdr:colOff>
      <xdr:row>12</xdr:row>
      <xdr:rowOff>133350</xdr:rowOff>
    </xdr:to>
    <xdr:pic>
      <xdr:nvPicPr>
        <xdr:cNvPr id="4" name="Imagem 3" descr="http://i.creativecommons.org/l/by-nc-sa/3.0/88x31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1125" y="2447925"/>
          <a:ext cx="8382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1238250</xdr:colOff>
      <xdr:row>4</xdr:row>
      <xdr:rowOff>114301</xdr:rowOff>
    </xdr:from>
    <xdr:to>
      <xdr:col>7</xdr:col>
      <xdr:colOff>352425</xdr:colOff>
      <xdr:row>21</xdr:row>
      <xdr:rowOff>57151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543675" y="1200151"/>
          <a:ext cx="5619750" cy="3181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Como usar:</a:t>
          </a:r>
          <a:endParaRPr lang="pt-BR" sz="1100" b="1" baseline="0"/>
        </a:p>
        <a:p>
          <a:pPr algn="ctr"/>
          <a:endParaRPr lang="pt-BR" sz="1100" b="1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SOBRE: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Objetivo do arquivo, licença de uso, como contribuir e informações sobre a utilização do arquivo.</a:t>
          </a:r>
          <a:endParaRPr lang="pt-BR">
            <a:effectLst/>
          </a:endParaRPr>
        </a:p>
        <a:p>
          <a:pPr algn="just"/>
          <a:endParaRPr lang="pt-BR" sz="1100" b="1" baseline="0"/>
        </a:p>
        <a:p>
          <a:pPr algn="just"/>
          <a:r>
            <a:rPr lang="pt-BR" sz="1100" b="1" baseline="0"/>
            <a:t>2. CADASTRO DE VEÍCULOS:</a:t>
          </a:r>
          <a:r>
            <a:rPr lang="pt-BR" sz="1100" b="0" baseline="0"/>
            <a:t> Registre nesta aba todos os veículos da sua frota.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3. CADASTROS GERAIS:</a:t>
          </a:r>
          <a:r>
            <a:rPr lang="pt-BR" sz="1100" b="0" baseline="0"/>
            <a:t> Cadastre nesta planilha os dados relacionados aos postos de combustíveis frequentes, tipos de óleo, oficinas e tipos de serviços.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4. ABASTECIMENTOS:</a:t>
          </a:r>
          <a:r>
            <a:rPr lang="pt-BR" sz="1100" b="0" baseline="0"/>
            <a:t> Registre nesta aba os dados dos abastecimentos realizados.</a:t>
          </a:r>
        </a:p>
        <a:p>
          <a:pPr algn="just"/>
          <a:endParaRPr lang="pt-BR" sz="1100" b="0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TROCA DE ÓLEO: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Anote as trocas de óleo nesta planilha do arquivo.</a:t>
          </a: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ANÁLISE GERAL: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Nesta planilha são apresentadas informações acerca dos registros realizados para a frota.</a:t>
          </a:r>
          <a:endParaRPr lang="pt-BR" b="0">
            <a:effectLst/>
          </a:endParaRPr>
        </a:p>
        <a:p>
          <a:pPr algn="just"/>
          <a:endParaRPr lang="pt-BR" sz="1100" b="1" baseline="0"/>
        </a:p>
      </xdr:txBody>
    </xdr:sp>
    <xdr:clientData/>
  </xdr:twoCellAnchor>
  <xdr:twoCellAnchor>
    <xdr:from>
      <xdr:col>0</xdr:col>
      <xdr:colOff>590550</xdr:colOff>
      <xdr:row>28</xdr:row>
      <xdr:rowOff>142876</xdr:rowOff>
    </xdr:from>
    <xdr:to>
      <xdr:col>5</xdr:col>
      <xdr:colOff>923925</xdr:colOff>
      <xdr:row>31</xdr:row>
      <xdr:rowOff>66676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424CA65-FAD2-4A33-9EC4-248256C8CD2E}"/>
            </a:ext>
          </a:extLst>
        </xdr:cNvPr>
        <xdr:cNvSpPr/>
      </xdr:nvSpPr>
      <xdr:spPr>
        <a:xfrm>
          <a:off x="590550" y="5800726"/>
          <a:ext cx="8791575" cy="4953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Planilha de Controle de Frota Profissional</a:t>
          </a:r>
        </a:p>
      </xdr:txBody>
    </xdr:sp>
    <xdr:clientData/>
  </xdr:twoCellAnchor>
  <xdr:twoCellAnchor editAs="oneCell">
    <xdr:from>
      <xdr:col>5</xdr:col>
      <xdr:colOff>1171060</xdr:colOff>
      <xdr:row>22</xdr:row>
      <xdr:rowOff>19049</xdr:rowOff>
    </xdr:from>
    <xdr:to>
      <xdr:col>12</xdr:col>
      <xdr:colOff>117781</xdr:colOff>
      <xdr:row>36</xdr:row>
      <xdr:rowOff>36950</xdr:rowOff>
    </xdr:to>
    <xdr:pic>
      <xdr:nvPicPr>
        <xdr:cNvPr id="7" name="Imagem 6" descr="Interface gráfica do usuário, Gráfico&#10;&#10;Descrição gerada automaticament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5875961-D911-4342-8810-1B834BCF3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29260" y="4533899"/>
          <a:ext cx="5347521" cy="26849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866775</xdr:colOff>
      <xdr:row>12</xdr:row>
      <xdr:rowOff>171450</xdr:rowOff>
    </xdr:from>
    <xdr:to>
      <xdr:col>5</xdr:col>
      <xdr:colOff>866775</xdr:colOff>
      <xdr:row>12</xdr:row>
      <xdr:rowOff>171450</xdr:rowOff>
    </xdr:to>
    <xdr:pic>
      <xdr:nvPicPr>
        <xdr:cNvPr id="2" name="Imagem 1" descr="Guia do Excel:: Seu melhor site sobre excel do básico ao VB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5975" y="268605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171450</xdr:rowOff>
    </xdr:from>
    <xdr:to>
      <xdr:col>3</xdr:col>
      <xdr:colOff>419100</xdr:colOff>
      <xdr:row>11</xdr:row>
      <xdr:rowOff>133350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800475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Abastecimento</a:t>
          </a:r>
        </a:p>
      </xdr:txBody>
    </xdr:sp>
    <xdr:clientData/>
  </xdr:twoCellAnchor>
  <xdr:twoCellAnchor>
    <xdr:from>
      <xdr:col>3</xdr:col>
      <xdr:colOff>638175</xdr:colOff>
      <xdr:row>5</xdr:row>
      <xdr:rowOff>171450</xdr:rowOff>
    </xdr:from>
    <xdr:to>
      <xdr:col>4</xdr:col>
      <xdr:colOff>857250</xdr:colOff>
      <xdr:row>11</xdr:row>
      <xdr:rowOff>133350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5943600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Manutenção</a:t>
          </a:r>
        </a:p>
      </xdr:txBody>
    </xdr:sp>
    <xdr:clientData/>
  </xdr:twoCellAnchor>
  <xdr:twoCellAnchor>
    <xdr:from>
      <xdr:col>2</xdr:col>
      <xdr:colOff>333375</xdr:colOff>
      <xdr:row>13</xdr:row>
      <xdr:rowOff>66675</xdr:rowOff>
    </xdr:from>
    <xdr:to>
      <xdr:col>3</xdr:col>
      <xdr:colOff>428625</xdr:colOff>
      <xdr:row>19</xdr:row>
      <xdr:rowOff>28575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810000" y="2867025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Troca de óleo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38099</xdr:colOff>
      <xdr:row>6</xdr:row>
      <xdr:rowOff>66676</xdr:rowOff>
    </xdr:from>
    <xdr:to>
      <xdr:col>6</xdr:col>
      <xdr:colOff>969645</xdr:colOff>
      <xdr:row>9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Fabricante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099" y="1543051"/>
              <a:ext cx="6353176" cy="647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8</xdr:col>
      <xdr:colOff>47626</xdr:colOff>
      <xdr:row>6</xdr:row>
      <xdr:rowOff>100012</xdr:rowOff>
    </xdr:from>
    <xdr:to>
      <xdr:col>14</xdr:col>
      <xdr:colOff>47626</xdr:colOff>
      <xdr:row>21</xdr:row>
      <xdr:rowOff>85725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7</xdr:row>
      <xdr:rowOff>185737</xdr:rowOff>
    </xdr:from>
    <xdr:to>
      <xdr:col>11</xdr:col>
      <xdr:colOff>590550</xdr:colOff>
      <xdr:row>18</xdr:row>
      <xdr:rowOff>9525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12" name="Rai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38101</xdr:colOff>
      <xdr:row>10</xdr:row>
      <xdr:rowOff>161926</xdr:rowOff>
    </xdr:from>
    <xdr:to>
      <xdr:col>0</xdr:col>
      <xdr:colOff>1085850</xdr:colOff>
      <xdr:row>18</xdr:row>
      <xdr:rowOff>163830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odelo 2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1" y="2400301"/>
              <a:ext cx="1047749" cy="1543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7</xdr:row>
      <xdr:rowOff>57150</xdr:rowOff>
    </xdr:from>
    <xdr:to>
      <xdr:col>4</xdr:col>
      <xdr:colOff>685800</xdr:colOff>
      <xdr:row>10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abricante 2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1724025"/>
              <a:ext cx="6124576" cy="638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53.968545023148" createdVersion="5" refreshedVersion="8" minRefreshableVersion="3" recordCount="4" xr:uid="{00000000-000A-0000-FFFF-FFFF02000000}">
  <cacheSource type="worksheet">
    <worksheetSource name="Tabela9"/>
  </cacheSource>
  <cacheFields count="13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2">
        <s v="OXB4464"/>
        <m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Óleo" numFmtId="0">
      <sharedItems containsBlank="1"/>
    </cacheField>
    <cacheField name="KM Óleo" numFmtId="164">
      <sharedItems containsString="0" containsBlank="1" containsNumber="1" containsInteger="1" minValue="5000" maxValue="5000"/>
    </cacheField>
    <cacheField name="Observação" numFmtId="0">
      <sharedItems containsBlank="1"/>
    </cacheField>
    <cacheField name="Filtro de óleo" numFmtId="0">
      <sharedItems containsBlank="1"/>
    </cacheField>
    <cacheField name="Filtro de combustível" numFmtId="0">
      <sharedItems containsBlank="1"/>
    </cacheField>
    <cacheField name="Custo total" numFmtId="0">
      <sharedItems containsString="0" containsBlank="1" containsNumber="1" containsInteger="1" minValue="256" maxValue="256"/>
    </cacheField>
    <cacheField name="Quilometragem (Km)" numFmtId="0">
      <sharedItems containsString="0" containsBlank="1" containsNumber="1" containsInteger="1" minValue="86939" maxValue="86939"/>
    </cacheField>
    <cacheField name="Próxima troca (Km)" numFmtId="164">
      <sharedItems containsString="0" containsBlank="1" containsNumber="1" containsInteger="1" minValue="91939" maxValue="91939"/>
    </cacheField>
  </cacheFields>
  <extLst>
    <ext xmlns:x14="http://schemas.microsoft.com/office/spreadsheetml/2009/9/main" uri="{725AE2AE-9491-48be-B2B4-4EB974FC3084}">
      <x14:pivotCacheDefinition pivotCacheId="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53.968545254633" createdVersion="5" refreshedVersion="8" minRefreshableVersion="3" recordCount="20" xr:uid="{00000000-000A-0000-FFFF-FFFF01000000}">
  <cacheSource type="worksheet">
    <worksheetSource name="Tabela4"/>
  </cacheSource>
  <cacheFields count="12">
    <cacheField name="Data" numFmtId="14">
      <sharedItems containsNonDate="0" containsDate="1" containsString="0" containsBlank="1" minDate="2025-03-28T00:00:00" maxDate="2025-04-07T00:00:00" count="3">
        <d v="2025-03-28T00:00:00"/>
        <d v="2025-04-06T00:00:00"/>
        <m/>
      </sharedItems>
    </cacheField>
    <cacheField name="Placa" numFmtId="0">
      <sharedItems containsBlank="1" count="2">
        <s v="OXB4464"/>
        <m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Tipo de Combustivel" numFmtId="0">
      <sharedItems containsBlank="1"/>
    </cacheField>
    <cacheField name="Custo total R$" numFmtId="44">
      <sharedItems containsString="0" containsBlank="1" containsNumber="1" minValue="100" maxValue="230.08"/>
    </cacheField>
    <cacheField name="Preço por litro" numFmtId="44">
      <sharedItems containsString="0" containsBlank="1" containsNumber="1" minValue="5.97" maxValue="6.05"/>
    </cacheField>
    <cacheField name="Litros abastecidos" numFmtId="4">
      <sharedItems containsString="0" containsBlank="1" containsNumber="1" minValue="16.528925619834713" maxValue="38.539363484087104"/>
    </cacheField>
    <cacheField name="Quilometragem do hodômetro (Km)" numFmtId="164">
      <sharedItems containsString="0" containsBlank="1" containsNumber="1" containsInteger="1" minValue="86823" maxValue="86954"/>
    </cacheField>
    <cacheField name="Km percorridos" numFmtId="164">
      <sharedItems containsString="0" containsBlank="1" containsNumber="1" containsInteger="1" minValue="131" maxValue="524"/>
    </cacheField>
    <cacheField name="Km/L" numFmtId="0" formula="'Km percorridos'/'Litros abastecidos'" databaseField="0"/>
    <cacheField name="Média Custo/L" numFmtId="0" formula="'Custo total R$'/'Km percorridos'" databaseField="0"/>
  </cacheFields>
  <extLst>
    <ext xmlns:x14="http://schemas.microsoft.com/office/spreadsheetml/2009/9/main" uri="{725AE2AE-9491-48be-B2B4-4EB974FC3084}">
      <x14:pivotCacheDefinition pivotCacheId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53.96854548611" createdVersion="5" refreshedVersion="8" minRefreshableVersion="3" recordCount="53" xr:uid="{00000000-000A-0000-FFFF-FFFF00000000}">
  <cacheSource type="worksheet">
    <worksheetSource name="Tabela8"/>
  </cacheSource>
  <cacheFields count="9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2">
        <s v="OXB4464"/>
        <m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Tipo de serviço" numFmtId="0">
      <sharedItems containsBlank="1" count="5">
        <s v="Mecânica"/>
        <s v="Ar Condicionado"/>
        <s v="Vidros"/>
        <s v="Pneus"/>
        <m/>
      </sharedItems>
    </cacheField>
    <cacheField name="Descrição do serviço" numFmtId="0">
      <sharedItems containsBlank="1"/>
    </cacheField>
    <cacheField name="Qualificacao do Serviço" numFmtId="0">
      <sharedItems containsBlank="1"/>
    </cacheField>
    <cacheField name="Custo total R$" numFmtId="44">
      <sharedItems containsString="0" containsBlank="1" containsNumber="1" containsInteger="1" minValue="28" maxValue="6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x v="0"/>
    <s v="Forza Mecanica - Walber"/>
    <s v="FUNCHS TITAN SYN SYN GF6 0W-20"/>
    <n v="5000"/>
    <s v="De acordo com o Manual do Honda City 2014 utilize o Óleo Pro Honda 0W20."/>
    <s v="Sim"/>
    <s v="Sim"/>
    <n v="256"/>
    <n v="86939"/>
    <n v="91939"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x v="0"/>
    <x v="0"/>
    <s v="Gasolina Comum"/>
    <n v="100"/>
    <n v="6.05"/>
    <n v="16.528925619834713"/>
    <n v="86823"/>
    <n v="131"/>
  </r>
  <r>
    <x v="1"/>
    <x v="0"/>
    <x v="0"/>
    <x v="0"/>
    <s v="Gasolina Aditivada Petrobras Grid"/>
    <n v="230.08"/>
    <n v="5.97"/>
    <n v="38.539363484087104"/>
    <n v="86954"/>
    <n v="524"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x v="0"/>
    <x v="0"/>
    <x v="0"/>
    <x v="0"/>
    <s v="Forza Mecanica - Walber"/>
    <x v="0"/>
    <s v="FERRAMENTA LIQUIDA SHOCK TREATMENT FEX S01 FLEX"/>
    <s v="Peça"/>
    <n v="90"/>
  </r>
  <r>
    <x v="0"/>
    <x v="0"/>
    <x v="0"/>
    <x v="0"/>
    <s v="Forza Mecanica - Walber"/>
    <x v="0"/>
    <s v="ADITIVO ARREFECIMENTO"/>
    <s v="Peça"/>
    <n v="198"/>
  </r>
  <r>
    <x v="0"/>
    <x v="0"/>
    <x v="0"/>
    <x v="0"/>
    <s v="Forza Mecanica - Walber"/>
    <x v="0"/>
    <s v="BLUE OCTANE FEX FEX 001"/>
    <s v="Peça"/>
    <n v="48"/>
  </r>
  <r>
    <x v="0"/>
    <x v="0"/>
    <x v="0"/>
    <x v="0"/>
    <s v="Forza Mecanica - Walber"/>
    <x v="0"/>
    <s v="BUCHA DA BARRA"/>
    <s v="Peça"/>
    <n v="50"/>
  </r>
  <r>
    <x v="0"/>
    <x v="0"/>
    <x v="0"/>
    <x v="0"/>
    <s v="Forza Mecanica - Walber"/>
    <x v="0"/>
    <s v="CLEANER RAD - LIMPA RADIADOR"/>
    <s v="Peça"/>
    <n v="40"/>
  </r>
  <r>
    <x v="0"/>
    <x v="0"/>
    <x v="0"/>
    <x v="0"/>
    <s v="Forza Mecanica - Walber"/>
    <x v="0"/>
    <s v="CORREIA AUXILIAR"/>
    <s v="Peça"/>
    <n v="78"/>
  </r>
  <r>
    <x v="0"/>
    <x v="0"/>
    <x v="0"/>
    <x v="0"/>
    <s v="Forza Mecanica - Walber"/>
    <x v="0"/>
    <s v="DESCARBONIZANTE TEEFAX 100114"/>
    <s v="Peça"/>
    <n v="50"/>
  </r>
  <r>
    <x v="0"/>
    <x v="0"/>
    <x v="0"/>
    <x v="0"/>
    <s v="Forza Mecanica - Walber"/>
    <x v="0"/>
    <s v="FILTRO DE AR"/>
    <s v="Peça"/>
    <n v="56"/>
  </r>
  <r>
    <x v="0"/>
    <x v="0"/>
    <x v="0"/>
    <x v="0"/>
    <s v="Forza Mecanica - Walber"/>
    <x v="1"/>
    <s v="FILTRO DE CABINE"/>
    <s v="Peça"/>
    <n v="30"/>
  </r>
  <r>
    <x v="0"/>
    <x v="0"/>
    <x v="0"/>
    <x v="0"/>
    <s v="Forza Mecanica - Walber"/>
    <x v="0"/>
    <s v="FILTRO DE GASOLINA"/>
    <s v="Peça"/>
    <n v="28"/>
  </r>
  <r>
    <x v="0"/>
    <x v="0"/>
    <x v="0"/>
    <x v="0"/>
    <s v="Forza Mecanica - Walber"/>
    <x v="0"/>
    <s v="FILTRO DE ÓLEO"/>
    <s v="Peça"/>
    <n v="28"/>
  </r>
  <r>
    <x v="0"/>
    <x v="0"/>
    <x v="0"/>
    <x v="0"/>
    <s v="Forza Mecanica - Walber"/>
    <x v="0"/>
    <s v="JOGO DE PASTILHA DIANTEIRA"/>
    <s v="Peça"/>
    <n v="160"/>
  </r>
  <r>
    <x v="0"/>
    <x v="0"/>
    <x v="0"/>
    <x v="0"/>
    <s v="Forza Mecanica - Walber"/>
    <x v="0"/>
    <s v="JUNTA DA TAMPA DE VALVULA"/>
    <s v="Peça"/>
    <n v="110"/>
  </r>
  <r>
    <x v="0"/>
    <x v="0"/>
    <x v="0"/>
    <x v="0"/>
    <s v="Forza Mecanica - Walber"/>
    <x v="0"/>
    <s v="ÓLEO DE MOTOR 0W20"/>
    <s v="Peça"/>
    <n v="256"/>
  </r>
  <r>
    <x v="0"/>
    <x v="0"/>
    <x v="0"/>
    <x v="0"/>
    <s v="Forza Mecanica - Walber"/>
    <x v="2"/>
    <s v="PALHETA DE PARABRISA"/>
    <s v="Peça"/>
    <n v="95"/>
  </r>
  <r>
    <x v="0"/>
    <x v="0"/>
    <x v="0"/>
    <x v="0"/>
    <s v="Forza Mecanica - Walber"/>
    <x v="0"/>
    <s v="PASTILHA TRASEIRA DE FREIO"/>
    <s v="Peça"/>
    <n v="235"/>
  </r>
  <r>
    <x v="0"/>
    <x v="0"/>
    <x v="0"/>
    <x v="0"/>
    <s v="Forza Mecanica - Walber"/>
    <x v="0"/>
    <s v="SUPORTE DE MOTOR"/>
    <s v="Peça"/>
    <n v="470"/>
  </r>
  <r>
    <x v="0"/>
    <x v="0"/>
    <x v="0"/>
    <x v="0"/>
    <s v="Forza Mecanica - Walber"/>
    <x v="0"/>
    <s v="VELAS DE IGNIÇÃO"/>
    <s v="Peça"/>
    <n v="690"/>
  </r>
  <r>
    <x v="0"/>
    <x v="0"/>
    <x v="0"/>
    <x v="0"/>
    <s v="Forza Mecanica - Walber"/>
    <x v="3"/>
    <s v="BALANCEAMENTO DE RODAS"/>
    <s v="Mão de Obra"/>
    <n v="60"/>
  </r>
  <r>
    <x v="0"/>
    <x v="0"/>
    <x v="0"/>
    <x v="0"/>
    <s v="Forza Mecanica - Walber"/>
    <x v="1"/>
    <s v="HIGIENIZAÇÃO POR OZÔNIO"/>
    <s v="Mão de Obra"/>
    <n v="70"/>
  </r>
  <r>
    <x v="0"/>
    <x v="0"/>
    <x v="0"/>
    <x v="0"/>
    <s v="Forza Mecanica - Walber"/>
    <x v="0"/>
    <s v="ATIVAÇÃO DA FERRAMENTA LIQUIDA"/>
    <s v="Mão de Obra"/>
    <n v="60"/>
  </r>
  <r>
    <x v="0"/>
    <x v="0"/>
    <x v="0"/>
    <x v="0"/>
    <s v="Forza Mecanica - Walber"/>
    <x v="0"/>
    <s v="SUBST. DE VELAS E LIMPEZA DO TBI"/>
    <s v="Mão de Obra"/>
    <n v="240"/>
  </r>
  <r>
    <x v="0"/>
    <x v="0"/>
    <x v="0"/>
    <x v="0"/>
    <s v="Forza Mecanica - Walber"/>
    <x v="0"/>
    <s v="REGULAGEM DE VALVULA"/>
    <s v="Mão de Obra"/>
    <n v="450"/>
  </r>
  <r>
    <x v="0"/>
    <x v="0"/>
    <x v="0"/>
    <x v="0"/>
    <s v="Forza Mecanica - Walber"/>
    <x v="0"/>
    <s v="SUBST. DE CORREIA DE SERVIÇO"/>
    <s v="Mão de Obra"/>
    <n v="90"/>
  </r>
  <r>
    <x v="0"/>
    <x v="0"/>
    <x v="0"/>
    <x v="0"/>
    <s v="Forza Mecanica - Walber"/>
    <x v="0"/>
    <s v="SUBST. DO COXIM DO MOTOR"/>
    <s v="Mão de Obra"/>
    <n v="120"/>
  </r>
  <r>
    <x v="0"/>
    <x v="0"/>
    <x v="0"/>
    <x v="0"/>
    <s v="Forza Mecanica - Walber"/>
    <x v="0"/>
    <s v="SUBST. DAS BUCHAS DA BARRA ESTABILIZADORA"/>
    <s v="Mão de Obra"/>
    <n v="210"/>
  </r>
  <r>
    <x v="0"/>
    <x v="0"/>
    <x v="0"/>
    <x v="0"/>
    <s v="Forza Mecanica - Walber"/>
    <x v="0"/>
    <s v="REVISÃO DE ARREFECIMENTO"/>
    <s v="Mão de Obra"/>
    <n v="240"/>
  </r>
  <r>
    <x v="0"/>
    <x v="0"/>
    <x v="0"/>
    <x v="0"/>
    <s v="Forza Mecanica - Walber"/>
    <x v="0"/>
    <s v="SUBST. DE PASTILHAS DIANT."/>
    <s v="Mão de Obra"/>
    <n v="90"/>
  </r>
  <r>
    <x v="0"/>
    <x v="0"/>
    <x v="0"/>
    <x v="0"/>
    <s v="Forza Mecanica - Walber"/>
    <x v="0"/>
    <s v="SUBST. DE PASTILHAS TRAS."/>
    <s v="Mão de Obra"/>
    <n v="110"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ela dinâmica6" cacheId="1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7">
  <location ref="J11:K13" firstHeaderRow="1" firstDataRow="1" firstDataCol="1" rowPageCount="1" colPageCount="1"/>
  <pivotFields count="12">
    <pivotField axis="axisPage" numFmtId="14" multipleItemSelectionAllowed="1" showAll="0">
      <items count="4">
        <item x="0"/>
        <item h="1" x="2"/>
        <item x="1"/>
        <item t="default"/>
      </items>
    </pivotField>
    <pivotField showAll="0"/>
    <pivotField axis="axisRow" showAll="0">
      <items count="4">
        <item h="1" m="1" x="2"/>
        <item h="1" x="1"/>
        <item x="0"/>
        <item t="default"/>
      </items>
    </pivotField>
    <pivotField showAll="0"/>
    <pivotField showAll="0"/>
    <pivotField numFmtId="44" showAll="0"/>
    <pivotField numFmtId="44" showAll="0"/>
    <pivotField numFmtId="4" showAll="0"/>
    <pivotField numFmtId="164" showAll="0"/>
    <pivotField numFmtId="164" showAll="0"/>
    <pivotField dataField="1" dragToRow="0" dragToCol="0" dragToPage="0" showAll="0" defaultSubtotal="0"/>
    <pivotField dragToRow="0" dragToCol="0" dragToPage="0" showAll="0" defaultSubtota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0" hier="-1"/>
  </pageFields>
  <dataFields count="1">
    <dataField name="Média de Km/L" fld="10" subtotal="average" baseField="2" baseItem="1"/>
  </dataFields>
  <formats count="4">
    <format dxfId="24">
      <pivotArea grandRow="1" outline="0" collapsedLevelsAreSubtotals="1" fieldPosition="0"/>
    </format>
    <format dxfId="23">
      <pivotArea dataOnly="0" labelOnly="1" grandRow="1" outline="0" fieldPosition="0"/>
    </format>
    <format dxfId="22">
      <pivotArea grandRow="1" outline="0" collapsedLevelsAreSubtotals="1" fieldPosition="0"/>
    </format>
    <format dxfId="21">
      <pivotArea dataOnly="0" labelOnly="1" grandRow="1" outline="0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Tabela dinâmica5" cacheId="1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2:G16" firstHeaderRow="1" firstDataRow="2" firstDataCol="2"/>
  <pivotFields count="12">
    <pivotField axis="axisRow" compact="0" numFmtId="14" outline="0" showAll="0">
      <items count="4">
        <item x="0"/>
        <item x="2"/>
        <item x="1"/>
        <item t="default"/>
      </items>
    </pivotField>
    <pivotField axis="axisRow" compact="0" outline="0" multipleItemSelectionAllowed="1" showAll="0" defaultSubtotal="0">
      <items count="2">
        <item x="0"/>
        <item h="1" x="1"/>
      </items>
    </pivotField>
    <pivotField compact="0" outline="0" showAll="0" defaultSubtotal="0"/>
    <pivotField compact="0" outline="0" showAll="0" defaultSubtotal="0">
      <items count="2">
        <item x="0"/>
        <item x="1"/>
      </items>
    </pivotField>
    <pivotField compact="0" outline="0" showAll="0"/>
    <pivotField dataField="1" compact="0" numFmtId="44" outline="0" showAll="0"/>
    <pivotField compact="0" outline="0" showAll="0"/>
    <pivotField compact="0" outline="0" showAll="0" defaultSubtotal="0"/>
    <pivotField compact="0" outline="0" showAll="0"/>
    <pivotField dataField="1" compact="0" outlin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1"/>
    <field x="0"/>
  </rowFields>
  <rowItems count="3">
    <i>
      <x/>
      <x/>
    </i>
    <i r="1"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usto Total" fld="5" baseField="0" baseItem="0" numFmtId="165"/>
    <dataField name="Km Total" fld="9" baseField="9" baseItem="1"/>
    <dataField name="Custo/L Média" fld="11" baseField="9" baseItem="1" numFmtId="165"/>
    <dataField name="Km/L Média" fld="10" baseField="9" baseItem="1" numFmtId="4"/>
  </dataFields>
  <formats count="1">
    <format dxfId="25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Tabela dinâmica1" cacheId="2" applyNumberFormats="0" applyBorderFormats="0" applyFontFormats="0" applyPatternFormats="0" applyAlignmentFormats="0" applyWidthHeightFormats="1" dataCaption="Valores" grandTotalCaption="Total" updatedVersion="8" minRefreshableVersion="3" itemPrintTitles="1" createdVersion="4" indent="0" compact="0" compactData="0" gridDropZones="1" multipleFieldFilters="0">
  <location ref="A10:H13" firstHeaderRow="1" firstDataRow="2" firstDataCol="3" rowPageCount="1" colPageCount="1"/>
  <pivotFields count="9">
    <pivotField axis="axisPage" compact="0" numFmtId="14" outline="0" showAll="0">
      <items count="3">
        <item x="0"/>
        <item h="1" x="1"/>
        <item t="default"/>
      </items>
    </pivotField>
    <pivotField axis="axisRow" compact="0" outline="0" showAll="0" defaultSubtotal="0">
      <items count="2">
        <item x="0"/>
        <item x="1"/>
      </items>
    </pivotField>
    <pivotField axis="axisRow" compact="0" outline="0" showAll="0" defaultSubtotal="0">
      <items count="3">
        <item sd="0" m="1" x="2"/>
        <item x="1"/>
        <item x="0"/>
      </items>
    </pivotField>
    <pivotField axis="axisRow" compact="0" outline="0" showAll="0" defaultSubtotal="0">
      <items count="2">
        <item x="0"/>
        <item h="1" x="1"/>
      </items>
    </pivotField>
    <pivotField compact="0" outline="0" showAll="0"/>
    <pivotField axis="axisCol" compact="0" outline="0" showAll="0">
      <items count="6">
        <item x="0"/>
        <item h="1" x="4"/>
        <item x="3"/>
        <item x="1"/>
        <item x="2"/>
        <item t="default"/>
      </items>
    </pivotField>
    <pivotField compact="0" outline="0" showAll="0"/>
    <pivotField compact="0" outline="0" showAll="0"/>
    <pivotField dataField="1" compact="0" numFmtId="43" outline="0" showAll="0"/>
  </pivotFields>
  <rowFields count="3">
    <field x="1"/>
    <field x="2"/>
    <field x="3"/>
  </rowFields>
  <rowItems count="2">
    <i>
      <x/>
      <x v="2"/>
      <x/>
    </i>
    <i t="grand">
      <x/>
    </i>
  </rowItems>
  <colFields count="1">
    <field x="5"/>
  </colFields>
  <colItems count="5">
    <i>
      <x/>
    </i>
    <i>
      <x v="2"/>
    </i>
    <i>
      <x v="3"/>
    </i>
    <i>
      <x v="4"/>
    </i>
    <i t="grand">
      <x/>
    </i>
  </colItems>
  <pageFields count="1">
    <pageField fld="0" item="0" hier="-1"/>
  </pageFields>
  <dataFields count="1">
    <dataField name=" " fld="8" baseField="0" baseItem="1" numFmtId="165"/>
  </dataFields>
  <formats count="5">
    <format dxfId="20">
      <pivotArea type="all" dataOnly="0" outline="0" fieldPosition="0"/>
    </format>
    <format dxfId="19">
      <pivotArea outline="0" collapsedLevelsAreSubtotals="1" fieldPosition="0">
        <references count="3">
          <reference field="1" count="0" selected="0"/>
          <reference field="2" count="0" selected="0"/>
          <reference field="3" count="0" selected="0"/>
        </references>
      </pivotArea>
    </format>
    <format dxfId="18">
      <pivotArea dataOnly="0" labelOnly="1" outline="0" fieldPosition="0">
        <references count="1">
          <reference field="1" count="0"/>
        </references>
      </pivotArea>
    </format>
    <format dxfId="17">
      <pivotArea dataOnly="0" labelOnly="1" outline="0" fieldPosition="0">
        <references count="1">
          <reference field="5" count="0"/>
        </references>
      </pivotArea>
    </format>
    <format dxfId="16">
      <pivotArea dataOnly="0" labelOnly="1" grandCol="1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3000000}" name="Tabela dinâmica2" cacheId="2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5">
  <location ref="J9:K14" firstHeaderRow="1" firstDataRow="1" firstDataCol="1" rowPageCount="1" colPageCount="1"/>
  <pivotFields count="9">
    <pivotField axis="axisPage" numFmtId="14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axis="axisRow" showAll="0">
      <items count="6">
        <item x="0"/>
        <item h="1" x="4"/>
        <item x="3"/>
        <item x="1"/>
        <item x="2"/>
        <item t="default"/>
      </items>
    </pivotField>
    <pivotField showAll="0"/>
    <pivotField showAll="0"/>
    <pivotField dataField="1" numFmtId="44" showAll="0"/>
  </pivotFields>
  <rowFields count="1">
    <field x="5"/>
  </rowFields>
  <rowItems count="5">
    <i>
      <x/>
    </i>
    <i>
      <x v="2"/>
    </i>
    <i>
      <x v="3"/>
    </i>
    <i>
      <x v="4"/>
    </i>
    <i t="grand">
      <x/>
    </i>
  </rowItems>
  <colItems count="1">
    <i/>
  </colItems>
  <pageFields count="1">
    <pageField fld="0" item="0" hier="-1"/>
  </pageFields>
  <dataFields count="1">
    <dataField name="Soma de Custo total R$" fld="8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4000000}" name="Tabela dinâmica7" cacheId="0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3:E16" firstHeaderRow="1" firstDataRow="2" firstDataCol="2"/>
  <pivotFields count="13">
    <pivotField axis="axisRow" compact="0" numFmtId="14" outline="0" showAll="0">
      <items count="3">
        <item x="0"/>
        <item x="1"/>
        <item t="default"/>
      </items>
    </pivotField>
    <pivotField axis="axisRow" compact="0" outline="0" showAll="0" defaultSubtotal="0">
      <items count="2">
        <item x="0"/>
        <item x="1"/>
      </items>
    </pivotField>
    <pivotField compact="0" outline="0" showAll="0" defaultSubtotal="0">
      <items count="3">
        <item h="1" m="1" x="2"/>
        <item x="0"/>
        <item h="1" x="1"/>
      </items>
    </pivotField>
    <pivotField compact="0" outline="0" showAll="0" defaultSubtotal="0">
      <items count="2">
        <item x="0"/>
        <item h="1" x="1"/>
      </items>
    </pivotField>
    <pivotField compact="0" outline="0" showAll="0"/>
    <pivotField compact="0" outline="0" showAll="0" defaultSubtotal="0"/>
    <pivotField compact="0" numFmtId="164" outline="0" showAll="0" defaultSubtotal="0"/>
    <pivotField compact="0" outline="0" showAl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4" outline="0" showAll="0" defaultSubtotal="0"/>
  </pivotFields>
  <rowFields count="2">
    <field x="1"/>
    <field x="0"/>
  </rowFields>
  <rowItems count="2">
    <i>
      <x/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Custo Total " fld="10" baseField="0" baseItem="0" numFmtId="4"/>
    <dataField name="% do total" fld="10" showDataAs="percentOfCol" baseField="0" baseItem="1" numFmtId="10"/>
  </dataFields>
  <formats count="1">
    <format dxfId="15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" xr10:uid="{00000000-0013-0000-FFFF-FFFF02000000}" sourceName="Fabricante">
  <pivotTables>
    <pivotTable tabId="10" name="Tabela dinâmica5"/>
  </pivotTables>
  <data>
    <tabular pivotCacheId="7">
      <items count="2">
        <i x="0" s="1"/>
        <i x="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odelo11" xr10:uid="{00000000-0013-0000-FFFF-FFFF03000000}" sourceName="Modelo">
  <pivotTables>
    <pivotTable tabId="11" name="Tabela dinâmica7"/>
  </pivotTables>
  <data>
    <tabular pivotCacheId="9">
      <items count="3">
        <i x="0" s="1"/>
        <i x="2" nd="1"/>
        <i x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11" xr10:uid="{00000000-0013-0000-FFFF-FFFF04000000}" sourceName="Fabricante">
  <pivotTables>
    <pivotTable tabId="11" name="Tabela dinâmica7"/>
  </pivotTables>
  <data>
    <tabular pivotCacheId="9">
      <items count="2">
        <i x="0" s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abricante" xr10:uid="{00000000-0014-0000-FFFF-FFFF02000000}" cache="SegmentaçãodeDados_Fabricante" caption="Fabricante" columnCount="5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delo 2" xr10:uid="{00000000-0014-0000-FFFF-FFFF03000000}" cache="SegmentaçãodeDados_Modelo11" caption="Modelo" style="SlicerStyleLight6" rowHeight="241300"/>
  <slicer name="Fabricante 2" xr10:uid="{00000000-0014-0000-FFFF-FFFF04000000}" cache="SegmentaçãodeDados_Fabricante11" caption="Fabricante" columnCount="4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8:F18" totalsRowShown="0" headerRowDxfId="51">
  <autoFilter ref="B8:F18" xr:uid="{00000000-0009-0000-0100-000001000000}"/>
  <tableColumns count="5">
    <tableColumn id="4" xr3:uid="{00000000-0010-0000-0000-000004000000}" name="Placa"/>
    <tableColumn id="1" xr3:uid="{00000000-0010-0000-0000-000001000000}" name="Fabricante" dataDxfId="50"/>
    <tableColumn id="2" xr3:uid="{00000000-0010-0000-0000-000002000000}" name="Modelo" dataDxfId="49"/>
    <tableColumn id="3" xr3:uid="{00000000-0010-0000-0000-000003000000}" name="Tipo"/>
    <tableColumn id="5" xr3:uid="{00000000-0010-0000-0000-000005000000}" name="Ano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23:A30" totalsRowShown="0" headerRowDxfId="48">
  <autoFilter ref="A23:A30" xr:uid="{00000000-0009-0000-0100-000002000000}"/>
  <tableColumns count="1">
    <tableColumn id="1" xr3:uid="{00000000-0010-0000-0100-000001000000}" name="Combustível 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la3" displayName="Tabela3" ref="A7:B14" totalsRowShown="0">
  <autoFilter ref="A7:B14" xr:uid="{00000000-0009-0000-0100-000004000000}"/>
  <tableColumns count="2">
    <tableColumn id="1" xr3:uid="{00000000-0010-0000-0200-000001000000}" name="Tipo de óleo"/>
    <tableColumn id="2" xr3:uid="{00000000-0010-0000-0200-000002000000}" name="Intervalo de troca" dataCellStyle="Vírgula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a26" displayName="Tabela26" ref="D20:D25" totalsRowShown="0" headerRowDxfId="47">
  <autoFilter ref="D20:D25" xr:uid="{00000000-0009-0000-0100-000005000000}"/>
  <tableColumns count="1">
    <tableColumn id="1" xr3:uid="{00000000-0010-0000-0300-000001000000}" name="Oficinas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ela267" displayName="Tabela267" ref="D7:D15" totalsRowShown="0" headerRowDxfId="46">
  <autoFilter ref="D7:D15" xr:uid="{00000000-0009-0000-0100-000006000000}"/>
  <tableColumns count="1">
    <tableColumn id="1" xr3:uid="{00000000-0010-0000-0400-000001000000}" name="Serviços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4" displayName="Tabela4" ref="A7:J27" totalsRowShown="0" headerRowDxfId="45">
  <autoFilter ref="A7:J27" xr:uid="{00000000-0009-0000-0100-000009000000}"/>
  <tableColumns count="10">
    <tableColumn id="1" xr3:uid="{00000000-0010-0000-0500-000001000000}" name="Data" dataDxfId="44"/>
    <tableColumn id="2" xr3:uid="{00000000-0010-0000-0500-000002000000}" name="Placa"/>
    <tableColumn id="3" xr3:uid="{00000000-0010-0000-0500-000003000000}" name="Modelo" dataDxfId="43">
      <calculatedColumnFormula>IFERROR(VLOOKUP(B8,'2. CADASTRO DE VEÍCULOS'!B:D,3,0),"")</calculatedColumnFormula>
    </tableColumn>
    <tableColumn id="11" xr3:uid="{00000000-0010-0000-0500-00000B000000}" name="Fabricante" dataDxfId="42">
      <calculatedColumnFormula>IFERROR(VLOOKUP(B8,'2. CADASTRO DE VEÍCULOS'!B:C,2,0),"")</calculatedColumnFormula>
    </tableColumn>
    <tableColumn id="4" xr3:uid="{00000000-0010-0000-0500-000004000000}" name="Tipo de Combustivel"/>
    <tableColumn id="5" xr3:uid="{00000000-0010-0000-0500-000005000000}" name="Custo total R$" dataDxfId="41"/>
    <tableColumn id="6" xr3:uid="{00000000-0010-0000-0500-000006000000}" name="Preço por litro" dataCellStyle="Moeda"/>
    <tableColumn id="10" xr3:uid="{00000000-0010-0000-0500-00000A000000}" name="Litros abastecidos" dataDxfId="40">
      <calculatedColumnFormula>Tabela4[[#This Row],[Custo total R$]]/Tabela4[[#This Row],[Preço por litro]]</calculatedColumnFormula>
    </tableColumn>
    <tableColumn id="8" xr3:uid="{00000000-0010-0000-0500-000008000000}" name="Quilometragem do hodômetro (Km)" dataDxfId="39" dataCellStyle="Vírgula"/>
    <tableColumn id="7" xr3:uid="{00000000-0010-0000-0500-000007000000}" name="Km percorridos" dataDxfId="38" dataCellStyle="Vírgula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8" displayName="Tabela8" ref="A7:I60" totalsRowShown="0" headerRowDxfId="37">
  <autoFilter ref="A7:I60" xr:uid="{00000000-0009-0000-0100-00000A000000}"/>
  <tableColumns count="9">
    <tableColumn id="1" xr3:uid="{00000000-0010-0000-0600-000001000000}" name="Data" dataDxfId="36"/>
    <tableColumn id="7" xr3:uid="{00000000-0010-0000-0600-000007000000}" name="Placa" dataDxfId="35"/>
    <tableColumn id="6" xr3:uid="{00000000-0010-0000-0600-000006000000}" name="Modelo" dataDxfId="34">
      <calculatedColumnFormula>IFERROR(VLOOKUP(B8,'2. CADASTRO DE VEÍCULOS'!B:D,3,0),"")</calculatedColumnFormula>
    </tableColumn>
    <tableColumn id="8" xr3:uid="{00000000-0010-0000-0600-000008000000}" name="Fabricante" dataDxfId="33">
      <calculatedColumnFormula>IFERROR(VLOOKUP(B8,'2. CADASTRO DE VEÍCULOS'!B:C,2,0),"")</calculatedColumnFormula>
    </tableColumn>
    <tableColumn id="2" xr3:uid="{00000000-0010-0000-0600-000002000000}" name="Estabelecimento"/>
    <tableColumn id="3" xr3:uid="{00000000-0010-0000-0600-000003000000}" name="Tipo de serviço"/>
    <tableColumn id="4" xr3:uid="{00000000-0010-0000-0600-000004000000}" name="Descrição do serviço"/>
    <tableColumn id="9" xr3:uid="{8482E41B-08FA-4F24-9AF1-A7CFD89399B1}" name="Qualificacao do Serviço"/>
    <tableColumn id="5" xr3:uid="{00000000-0010-0000-0600-000005000000}" name="Custo total R$" dataCellStyle="Moeda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9" displayName="Tabela9" ref="A7:M11" totalsRowShown="0" headerRowDxfId="32">
  <autoFilter ref="A7:M11" xr:uid="{00000000-0009-0000-0100-00000B000000}"/>
  <tableColumns count="13">
    <tableColumn id="1" xr3:uid="{00000000-0010-0000-0700-000001000000}" name="Data" dataDxfId="31"/>
    <tableColumn id="13" xr3:uid="{00000000-0010-0000-0700-00000D000000}" name="Placa" dataDxfId="30"/>
    <tableColumn id="12" xr3:uid="{00000000-0010-0000-0700-00000C000000}" name="Modelo" dataDxfId="29">
      <calculatedColumnFormula>IFERROR(VLOOKUP(B8,'2. CADASTRO DE VEÍCULOS'!B:D,3,0),"")</calculatedColumnFormula>
    </tableColumn>
    <tableColumn id="11" xr3:uid="{00000000-0010-0000-0700-00000B000000}" name="Fabricante" dataDxfId="28">
      <calculatedColumnFormula>IFERROR(VLOOKUP(B8,'2. CADASTRO DE VEÍCULOS'!B:C,2,0),"")</calculatedColumnFormula>
    </tableColumn>
    <tableColumn id="2" xr3:uid="{00000000-0010-0000-0700-000002000000}" name="Estabelecimento"/>
    <tableColumn id="3" xr3:uid="{00000000-0010-0000-0700-000003000000}" name="Óleo"/>
    <tableColumn id="4" xr3:uid="{00000000-0010-0000-0700-000004000000}" name="KM Óleo" dataDxfId="27">
      <calculatedColumnFormula>IFERROR(VLOOKUP(F8,'3. CADASTROS GERAIS'!A:B,2,0),"")</calculatedColumnFormula>
    </tableColumn>
    <tableColumn id="5" xr3:uid="{00000000-0010-0000-0700-000005000000}" name="Observação"/>
    <tableColumn id="6" xr3:uid="{00000000-0010-0000-0700-000006000000}" name="Filtro de óleo"/>
    <tableColumn id="7" xr3:uid="{00000000-0010-0000-0700-000007000000}" name="Filtro de combustível"/>
    <tableColumn id="8" xr3:uid="{00000000-0010-0000-0700-000008000000}" name="Custo total"/>
    <tableColumn id="9" xr3:uid="{00000000-0010-0000-0700-000009000000}" name="Quilometragem (Km)"/>
    <tableColumn id="10" xr3:uid="{00000000-0010-0000-0700-00000A000000}" name="Próxima troca (Km)" dataDxfId="26">
      <calculatedColumnFormula>L8+G8</calculatedColumnFormula>
    </tableColumn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10" displayName="Tabela10" ref="G9:L19" totalsRowShown="0" headerRowDxfId="14" tableBorderDxfId="13">
  <autoFilter ref="G9:L19" xr:uid="{00000000-0009-0000-0100-00000C000000}"/>
  <tableColumns count="6">
    <tableColumn id="1" xr3:uid="{00000000-0010-0000-0800-000001000000}" name="Placa" dataDxfId="12"/>
    <tableColumn id="2" xr3:uid="{00000000-0010-0000-0800-000002000000}" name="Fabricante" dataDxfId="11"/>
    <tableColumn id="3" xr3:uid="{00000000-0010-0000-0800-000003000000}" name="Modelo" dataDxfId="10"/>
    <tableColumn id="4" xr3:uid="{00000000-0010-0000-0800-000004000000}" name="Últ. Abast." dataDxfId="9">
      <calculatedColumnFormula array="1">IFERROR(LARGE(IF(G10=Tabela4[Placa],Tabela4[Quilometragem do hodômetro (Km)]),1),0)</calculatedColumnFormula>
    </tableColumn>
    <tableColumn id="5" xr3:uid="{00000000-0010-0000-0800-000005000000}" name="Próx. Troca" dataDxfId="8">
      <calculatedColumnFormula array="1">IFERROR(LARGE(IF(G10=Tabela9[Placa],Tabela9[Próxima troca (Km)]),1),0)</calculatedColumnFormula>
    </tableColumn>
    <tableColumn id="6" xr3:uid="{00000000-0010-0000-0800-000006000000}" name="Alerta" dataDxfId="7">
      <calculatedColumnFormula>IF(K10&lt;=(J10*1.1),"Troca está próxima","")</calculatedColumnFormula>
    </tableColumn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91ABAA-B9B3-4432-8B0D-8C781693B8DB}" name="Tabela94" displayName="Tabela94" ref="A7:M11" totalsRowShown="0" headerRowDxfId="6">
  <autoFilter ref="A7:M11" xr:uid="{00000000-0009-0000-0100-00000B000000}"/>
  <tableColumns count="13">
    <tableColumn id="1" xr3:uid="{D52E3B5A-FAE9-4EB9-93B5-377852A545D6}" name="Data" dataDxfId="5"/>
    <tableColumn id="13" xr3:uid="{A65D354E-904C-4772-9F70-6B35C810542F}" name="Placa" dataDxfId="4"/>
    <tableColumn id="12" xr3:uid="{977B0B84-7580-4185-A977-3196000F9C98}" name="Modelo" dataDxfId="3">
      <calculatedColumnFormula>IFERROR(VLOOKUP(B8,'2. CADASTRO DE VEÍCULOS'!B:D,3,0),"")</calculatedColumnFormula>
    </tableColumn>
    <tableColumn id="11" xr3:uid="{1F4E373B-AB4B-499C-9750-7D7A08E4F593}" name="Fabricante" dataDxfId="2">
      <calculatedColumnFormula>IFERROR(VLOOKUP(B8,'2. CADASTRO DE VEÍCULOS'!B:C,2,0),"")</calculatedColumnFormula>
    </tableColumn>
    <tableColumn id="2" xr3:uid="{4EAADCF0-95BC-4BEE-825A-56FA259C5248}" name="Estabelecimento"/>
    <tableColumn id="3" xr3:uid="{0FCC7DF5-BD98-4253-8644-FF8598E9CEF9}" name="Pneus"/>
    <tableColumn id="4" xr3:uid="{A69ABB01-E051-4FE4-A168-B46A26104F1F}" name="KM Pneus" dataDxfId="1">
      <calculatedColumnFormula>IFERROR(VLOOKUP(F8,'3. CADASTROS GERAIS'!A:B,2,0),"")</calculatedColumnFormula>
    </tableColumn>
    <tableColumn id="5" xr3:uid="{68DD236D-9B18-4841-8D7F-1CD27A76E744}" name="Observação"/>
    <tableColumn id="6" xr3:uid="{1BEFD3B6-9E92-493A-9727-C8F0A02ADBC5}" name="Alinhamento"/>
    <tableColumn id="7" xr3:uid="{28E02BD7-467E-4FCE-A5DD-896EDC9346F2}" name="Balanceamento"/>
    <tableColumn id="8" xr3:uid="{70DC8E3D-4920-4794-BA73-0E36016CE241}" name="Custo total"/>
    <tableColumn id="9" xr3:uid="{5A8C444D-C582-441C-9229-EB043B13C944}" name="Quilometragem (Km)"/>
    <tableColumn id="10" xr3:uid="{760C3513-3567-4AAC-88A2-8D22A2A2F9C8}" name="Próxima troca (Km)" dataDxfId="0">
      <calculatedColumnFormula>L8+G8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oja.guiadoexcel.com.br/produto/planilha-de-controle-e-manutencao-de-veiculos-excel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5.xml"/><Relationship Id="rId5" Type="http://schemas.microsoft.com/office/2007/relationships/slicer" Target="../slicers/slicer2.xml"/><Relationship Id="rId4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2:M28"/>
  <sheetViews>
    <sheetView showGridLines="0" workbookViewId="0">
      <pane ySplit="4" topLeftCell="A5" activePane="bottomLeft" state="frozen"/>
      <selection pane="bottomLeft" activeCell="A4" sqref="A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x14ac:dyDescent="0.3">
      <c r="A2" s="7" t="s">
        <v>0</v>
      </c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4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25" spans="2:2" x14ac:dyDescent="0.3">
      <c r="B25" s="68" t="s">
        <v>9</v>
      </c>
    </row>
    <row r="27" spans="2:2" x14ac:dyDescent="0.3">
      <c r="B27" t="s">
        <v>10</v>
      </c>
    </row>
    <row r="28" spans="2:2" x14ac:dyDescent="0.3">
      <c r="B28" t="s">
        <v>11</v>
      </c>
    </row>
  </sheetData>
  <hyperlinks>
    <hyperlink ref="B4" location="'2. CADASTRO DE VEÍCULOS'!B4" display="2. CADASTRO DE VEÍCULOS" xr:uid="{00000000-0004-0000-0000-000000000000}"/>
    <hyperlink ref="C4" location="'3. CADASTROS GERAIS'!C4" display="3. CADASTROS GERAIS" xr:uid="{00000000-0004-0000-0000-000001000000}"/>
    <hyperlink ref="D4" location="'4. ABASTECIMENTOS'!D4" display="4. ABASTECIMENTOS" xr:uid="{00000000-0004-0000-0000-000002000000}"/>
    <hyperlink ref="E4" location="'5. MANUTENÇÕES'!E4" display="5. MANUTENÇÕES" xr:uid="{00000000-0004-0000-0000-000003000000}"/>
    <hyperlink ref="F4" location="'6. TROCAS DE ÓLEO'!F4" display="6. TROCAS DE ÓLEO" xr:uid="{00000000-0004-0000-0000-000004000000}"/>
    <hyperlink ref="G4" location="'7. ANÁLISE GERAL'!G4" display="7. ANÁLISE GERAL" xr:uid="{00000000-0004-0000-0000-000005000000}"/>
    <hyperlink ref="B25" r:id="rId1" xr:uid="{38930B58-CD98-4F9A-A5B5-E0F296DCFED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2:M18"/>
  <sheetViews>
    <sheetView showGridLines="0" workbookViewId="0">
      <pane ySplit="4" topLeftCell="A5" activePane="bottomLeft" state="frozen"/>
      <selection pane="bottomLeft" activeCell="F9" sqref="F9"/>
    </sheetView>
  </sheetViews>
  <sheetFormatPr defaultRowHeight="14.4" x14ac:dyDescent="0.3"/>
  <cols>
    <col min="1" max="1" width="24.6640625" customWidth="1"/>
    <col min="2" max="2" width="27.44140625" customWidth="1"/>
    <col min="3" max="3" width="14.33203125" customWidth="1"/>
    <col min="4" max="4" width="40.5546875" customWidth="1"/>
    <col min="5" max="6" width="21.6640625" customWidth="1"/>
    <col min="7" max="7" width="28.554687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4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7" spans="1:13" x14ac:dyDescent="0.3">
      <c r="B7" s="13" t="s">
        <v>12</v>
      </c>
      <c r="C7" s="13"/>
      <c r="D7" s="13"/>
      <c r="E7" s="13"/>
      <c r="F7" s="13"/>
    </row>
    <row r="8" spans="1:13" x14ac:dyDescent="0.3">
      <c r="B8" s="9" t="s">
        <v>13</v>
      </c>
      <c r="C8" s="9" t="s">
        <v>14</v>
      </c>
      <c r="D8" s="9" t="s">
        <v>15</v>
      </c>
      <c r="E8" s="9" t="s">
        <v>16</v>
      </c>
      <c r="F8" s="9" t="s">
        <v>17</v>
      </c>
    </row>
    <row r="9" spans="1:13" x14ac:dyDescent="0.3">
      <c r="B9" s="82" t="s">
        <v>18</v>
      </c>
      <c r="C9" s="85" t="s">
        <v>19</v>
      </c>
      <c r="D9" s="11" t="s">
        <v>20</v>
      </c>
      <c r="E9" s="82" t="s">
        <v>134</v>
      </c>
      <c r="F9" s="82">
        <v>2014</v>
      </c>
    </row>
    <row r="10" spans="1:13" x14ac:dyDescent="0.3">
      <c r="C10" s="10"/>
      <c r="D10" s="11"/>
    </row>
    <row r="11" spans="1:13" x14ac:dyDescent="0.3">
      <c r="C11" s="10"/>
      <c r="D11" s="11"/>
    </row>
    <row r="12" spans="1:13" x14ac:dyDescent="0.3">
      <c r="C12" s="10"/>
      <c r="D12" s="11"/>
    </row>
    <row r="13" spans="1:13" x14ac:dyDescent="0.3">
      <c r="C13" s="10"/>
      <c r="D13" s="11"/>
    </row>
    <row r="14" spans="1:13" x14ac:dyDescent="0.3">
      <c r="C14" s="10"/>
      <c r="D14" s="11"/>
    </row>
    <row r="15" spans="1:13" x14ac:dyDescent="0.3">
      <c r="C15" s="10"/>
      <c r="D15" s="11"/>
    </row>
    <row r="16" spans="1:13" x14ac:dyDescent="0.3">
      <c r="C16" s="10"/>
      <c r="D16" s="11"/>
    </row>
    <row r="17" spans="3:4" x14ac:dyDescent="0.3">
      <c r="C17" s="10"/>
      <c r="D17" s="11"/>
    </row>
    <row r="18" spans="3:4" x14ac:dyDescent="0.3">
      <c r="C18" s="10"/>
      <c r="D18" s="12"/>
    </row>
  </sheetData>
  <hyperlinks>
    <hyperlink ref="A4" location="'1. SOBRE'!A4" display="1. SOBRE" xr:uid="{00000000-0004-0000-0100-000000000000}"/>
    <hyperlink ref="C4" location="'3. CADASTROS GERAIS'!C4" display="3. CADASTROS GERAIS" xr:uid="{00000000-0004-0000-0100-000001000000}"/>
    <hyperlink ref="D4" location="'4. ABASTECIMENTOS'!D4" display="4. ABASTECIMENTOS" xr:uid="{00000000-0004-0000-0100-000002000000}"/>
    <hyperlink ref="E4" location="'5. MANUTENÇÕES'!E4" display="5. MANUTENÇÕES" xr:uid="{00000000-0004-0000-0100-000003000000}"/>
    <hyperlink ref="F4" location="'6. TROCAS DE ÓLEO'!F4" display="6. TROCAS DE ÓLEO" xr:uid="{00000000-0004-0000-0100-000004000000}"/>
    <hyperlink ref="G4" location="'7. ANÁLISE GERAL'!G4" display="7. ANÁLISE GERAL" xr:uid="{00000000-0004-0000-01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2:M30"/>
  <sheetViews>
    <sheetView showGridLines="0" workbookViewId="0">
      <pane ySplit="4" topLeftCell="A14" activePane="bottomLeft" state="frozen"/>
      <selection pane="bottomLeft" activeCell="A27" sqref="A27"/>
    </sheetView>
  </sheetViews>
  <sheetFormatPr defaultRowHeight="14.4" x14ac:dyDescent="0.3"/>
  <cols>
    <col min="1" max="1" width="31.109375" bestFit="1" customWidth="1"/>
    <col min="2" max="3" width="27.44140625" customWidth="1"/>
    <col min="4" max="4" width="25.5546875" customWidth="1"/>
    <col min="5" max="6" width="21.6640625" customWidth="1"/>
    <col min="7" max="7" width="28.5546875" customWidth="1"/>
    <col min="8" max="8" width="15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4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21</v>
      </c>
      <c r="B6" s="13"/>
      <c r="C6" s="18"/>
      <c r="D6" s="18"/>
    </row>
    <row r="7" spans="1:13" x14ac:dyDescent="0.3">
      <c r="A7" t="s">
        <v>22</v>
      </c>
      <c r="B7" t="s">
        <v>23</v>
      </c>
      <c r="D7" s="7" t="s">
        <v>24</v>
      </c>
    </row>
    <row r="8" spans="1:13" x14ac:dyDescent="0.3">
      <c r="A8" t="s">
        <v>25</v>
      </c>
      <c r="B8" s="14">
        <v>5000</v>
      </c>
      <c r="D8" t="s">
        <v>26</v>
      </c>
    </row>
    <row r="9" spans="1:13" x14ac:dyDescent="0.3">
      <c r="A9" t="s">
        <v>27</v>
      </c>
      <c r="B9" s="14">
        <v>5000</v>
      </c>
      <c r="D9" t="s">
        <v>28</v>
      </c>
    </row>
    <row r="10" spans="1:13" x14ac:dyDescent="0.3">
      <c r="A10" t="s">
        <v>29</v>
      </c>
      <c r="B10" s="14">
        <v>5000</v>
      </c>
      <c r="D10" t="s">
        <v>30</v>
      </c>
    </row>
    <row r="11" spans="1:13" x14ac:dyDescent="0.3">
      <c r="A11" t="s">
        <v>31</v>
      </c>
      <c r="B11" s="14">
        <v>5000</v>
      </c>
      <c r="D11" t="s">
        <v>32</v>
      </c>
    </row>
    <row r="12" spans="1:13" x14ac:dyDescent="0.3">
      <c r="A12" t="s">
        <v>127</v>
      </c>
      <c r="B12" s="79">
        <v>5000</v>
      </c>
      <c r="D12" t="s">
        <v>33</v>
      </c>
    </row>
    <row r="13" spans="1:13" x14ac:dyDescent="0.3">
      <c r="A13" t="s">
        <v>128</v>
      </c>
      <c r="B13" s="79">
        <v>5001</v>
      </c>
      <c r="D13" t="s">
        <v>34</v>
      </c>
    </row>
    <row r="14" spans="1:13" x14ac:dyDescent="0.3">
      <c r="A14" t="s">
        <v>126</v>
      </c>
      <c r="B14" s="79">
        <v>5001</v>
      </c>
      <c r="D14" t="s">
        <v>125</v>
      </c>
    </row>
    <row r="15" spans="1:13" x14ac:dyDescent="0.3">
      <c r="B15" s="79"/>
      <c r="D15" t="s">
        <v>130</v>
      </c>
    </row>
    <row r="16" spans="1:13" x14ac:dyDescent="0.3">
      <c r="B16" s="79"/>
    </row>
    <row r="17" spans="1:4" x14ac:dyDescent="0.3">
      <c r="B17" s="79"/>
    </row>
    <row r="18" spans="1:4" x14ac:dyDescent="0.3">
      <c r="B18" s="79"/>
    </row>
    <row r="19" spans="1:4" x14ac:dyDescent="0.3">
      <c r="B19" s="14"/>
    </row>
    <row r="20" spans="1:4" x14ac:dyDescent="0.3">
      <c r="B20" s="14"/>
      <c r="D20" s="7" t="s">
        <v>36</v>
      </c>
    </row>
    <row r="21" spans="1:4" x14ac:dyDescent="0.3">
      <c r="B21" s="14"/>
      <c r="D21" t="s">
        <v>37</v>
      </c>
    </row>
    <row r="22" spans="1:4" x14ac:dyDescent="0.3">
      <c r="D22" t="s">
        <v>39</v>
      </c>
    </row>
    <row r="23" spans="1:4" x14ac:dyDescent="0.3">
      <c r="A23" s="7" t="s">
        <v>35</v>
      </c>
      <c r="D23" t="s">
        <v>40</v>
      </c>
    </row>
    <row r="24" spans="1:4" x14ac:dyDescent="0.3">
      <c r="A24" t="s">
        <v>138</v>
      </c>
      <c r="D24" t="s">
        <v>123</v>
      </c>
    </row>
    <row r="25" spans="1:4" x14ac:dyDescent="0.3">
      <c r="A25" t="s">
        <v>38</v>
      </c>
      <c r="D25" t="s">
        <v>124</v>
      </c>
    </row>
    <row r="26" spans="1:4" x14ac:dyDescent="0.3">
      <c r="A26" t="s">
        <v>143</v>
      </c>
    </row>
    <row r="27" spans="1:4" x14ac:dyDescent="0.3">
      <c r="A27" t="s">
        <v>139</v>
      </c>
    </row>
    <row r="28" spans="1:4" x14ac:dyDescent="0.3">
      <c r="A28" t="s">
        <v>140</v>
      </c>
    </row>
    <row r="29" spans="1:4" x14ac:dyDescent="0.3">
      <c r="A29" t="s">
        <v>142</v>
      </c>
    </row>
    <row r="30" spans="1:4" x14ac:dyDescent="0.3">
      <c r="A30" t="s">
        <v>141</v>
      </c>
    </row>
  </sheetData>
  <phoneticPr fontId="18" type="noConversion"/>
  <hyperlinks>
    <hyperlink ref="C4" location="'3. CADASTROS GERAIS'!A1" display="3. CADASTROS GERAIS" xr:uid="{00000000-0004-0000-0200-000000000000}"/>
    <hyperlink ref="A4" location="'1. SOBRE'!A4" display="1. SOBRE" xr:uid="{00000000-0004-0000-0200-000001000000}"/>
    <hyperlink ref="B4" location="'2. CADASTRO DE VEÍCULOS'!B4" display="2. CADASTRO DE VEÍCULOS" xr:uid="{00000000-0004-0000-0200-000002000000}"/>
    <hyperlink ref="D4" location="'4. ABASTECIMENTOS'!D4" display="4. ABASTECIMENTOS" xr:uid="{00000000-0004-0000-0200-000003000000}"/>
    <hyperlink ref="E4" location="'5. MANUTENÇÕES'!E4" display="5. MANUTENÇÕES" xr:uid="{00000000-0004-0000-0200-000004000000}"/>
    <hyperlink ref="F4" location="'6. TROCAS DE ÓLEO'!F4" display="6. TROCAS DE ÓLEO" xr:uid="{00000000-0004-0000-0200-000005000000}"/>
    <hyperlink ref="G4" location="'7. ANÁLISE GERAL'!G4" display="7. ANÁLISE GERAL" xr:uid="{00000000-0004-0000-0200-000006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2:M27"/>
  <sheetViews>
    <sheetView showGridLines="0" tabSelected="1" topLeftCell="C1" workbookViewId="0">
      <pane ySplit="4" topLeftCell="A5" activePane="bottomLeft" state="frozen"/>
      <selection pane="bottomLeft" activeCell="F9" sqref="F9"/>
    </sheetView>
  </sheetViews>
  <sheetFormatPr defaultRowHeight="14.4" x14ac:dyDescent="0.3"/>
  <cols>
    <col min="1" max="1" width="24.6640625" customWidth="1"/>
    <col min="2" max="2" width="27.44140625" customWidth="1"/>
    <col min="3" max="3" width="40.88671875" customWidth="1"/>
    <col min="4" max="4" width="13.5546875" customWidth="1"/>
    <col min="5" max="5" width="23" customWidth="1"/>
    <col min="6" max="6" width="21.6640625" customWidth="1"/>
    <col min="7" max="7" width="28.5546875" customWidth="1"/>
    <col min="8" max="8" width="21.33203125" customWidth="1"/>
    <col min="9" max="9" width="35.88671875" bestFit="1" customWidth="1"/>
    <col min="10" max="10" width="19.554687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4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41</v>
      </c>
      <c r="B6" s="13"/>
      <c r="C6" s="18"/>
      <c r="D6" s="18"/>
      <c r="E6" s="13"/>
      <c r="F6" s="19"/>
      <c r="G6" s="13"/>
      <c r="H6" s="13"/>
      <c r="I6" s="13"/>
      <c r="J6" s="13"/>
    </row>
    <row r="7" spans="1:13" s="20" customFormat="1" x14ac:dyDescent="0.3">
      <c r="A7" s="72" t="s">
        <v>42</v>
      </c>
      <c r="B7" s="72" t="s">
        <v>13</v>
      </c>
      <c r="C7" s="73" t="s">
        <v>15</v>
      </c>
      <c r="D7" s="73" t="s">
        <v>14</v>
      </c>
      <c r="E7" s="72" t="s">
        <v>135</v>
      </c>
      <c r="F7" s="86" t="s">
        <v>43</v>
      </c>
      <c r="G7" s="72" t="s">
        <v>44</v>
      </c>
      <c r="H7" s="72" t="s">
        <v>45</v>
      </c>
      <c r="I7" s="72" t="s">
        <v>46</v>
      </c>
      <c r="J7" s="72" t="s">
        <v>47</v>
      </c>
    </row>
    <row r="8" spans="1:13" x14ac:dyDescent="0.3">
      <c r="A8" s="23">
        <v>45744</v>
      </c>
      <c r="B8" s="82" t="s">
        <v>18</v>
      </c>
      <c r="C8" s="21" t="str">
        <f>IFERROR(VLOOKUP(B8,'2. CADASTRO DE VEÍCULOS'!B:D,3,0),"")</f>
        <v>CITY SEDAN EX 1.5 FLEX 16V 4P AUTOMATICO</v>
      </c>
      <c r="D8" s="81" t="str">
        <f>IFERROR(VLOOKUP(B8,'2. CADASTRO DE VEÍCULOS'!B:C,2,0),"")</f>
        <v>HONDA</v>
      </c>
      <c r="E8" s="82" t="s">
        <v>138</v>
      </c>
      <c r="F8" s="17">
        <v>100.01</v>
      </c>
      <c r="G8" s="17">
        <v>6.05</v>
      </c>
      <c r="H8" s="22">
        <f>Tabela4[[#This Row],[Custo total R$]]/Tabela4[[#This Row],[Preço por litro]]</f>
        <v>16.530578512396694</v>
      </c>
      <c r="I8" s="25">
        <v>86823</v>
      </c>
      <c r="J8" s="24">
        <v>131</v>
      </c>
    </row>
    <row r="9" spans="1:13" x14ac:dyDescent="0.3">
      <c r="A9" s="23">
        <v>45753</v>
      </c>
      <c r="B9" s="82" t="s">
        <v>18</v>
      </c>
      <c r="C9" s="21" t="str">
        <f>IFERROR(VLOOKUP(B9,'2. CADASTRO DE VEÍCULOS'!B:D,3,0),"")</f>
        <v>CITY SEDAN EX 1.5 FLEX 16V 4P AUTOMATICO</v>
      </c>
      <c r="D9" s="81" t="str">
        <f>IFERROR(VLOOKUP(B9,'2. CADASTRO DE VEÍCULOS'!B:C,2,0),"")</f>
        <v>HONDA</v>
      </c>
      <c r="E9" s="11" t="s">
        <v>143</v>
      </c>
      <c r="F9" s="17">
        <v>230.08</v>
      </c>
      <c r="G9" s="17">
        <v>5.97</v>
      </c>
      <c r="H9" s="22">
        <f>Tabela4[[#This Row],[Custo total R$]]/Tabela4[[#This Row],[Preço por litro]]</f>
        <v>38.539363484087104</v>
      </c>
      <c r="I9" s="25">
        <v>86954</v>
      </c>
      <c r="J9" s="24">
        <v>524</v>
      </c>
    </row>
    <row r="10" spans="1:13" x14ac:dyDescent="0.3">
      <c r="A10" s="23"/>
      <c r="C10" s="21"/>
      <c r="D10" s="16"/>
      <c r="F10" s="17"/>
      <c r="G10" s="17"/>
      <c r="H10" s="22"/>
      <c r="I10" s="25"/>
      <c r="J10" s="24"/>
    </row>
    <row r="11" spans="1:13" x14ac:dyDescent="0.3">
      <c r="A11" s="23"/>
      <c r="C11" s="21"/>
      <c r="D11" s="16"/>
      <c r="F11" s="17"/>
      <c r="G11" s="17"/>
      <c r="H11" s="22"/>
      <c r="I11" s="25"/>
      <c r="J11" s="24"/>
    </row>
    <row r="12" spans="1:13" x14ac:dyDescent="0.3">
      <c r="A12" s="23"/>
      <c r="C12" s="21"/>
      <c r="D12" s="16"/>
      <c r="F12" s="17"/>
      <c r="G12" s="17"/>
      <c r="H12" s="22"/>
      <c r="I12" s="25"/>
      <c r="J12" s="24"/>
    </row>
    <row r="13" spans="1:13" x14ac:dyDescent="0.3">
      <c r="A13" s="23"/>
      <c r="C13" s="21"/>
      <c r="D13" s="16"/>
      <c r="F13" s="17"/>
      <c r="G13" s="17"/>
      <c r="H13" s="22"/>
      <c r="I13" s="25"/>
      <c r="J13" s="24"/>
    </row>
    <row r="14" spans="1:13" x14ac:dyDescent="0.3">
      <c r="A14" s="23"/>
      <c r="C14" s="21"/>
      <c r="D14" s="16"/>
      <c r="F14" s="17"/>
      <c r="G14" s="17"/>
      <c r="H14" s="22"/>
      <c r="I14" s="25"/>
      <c r="J14" s="24"/>
    </row>
    <row r="15" spans="1:13" x14ac:dyDescent="0.3">
      <c r="A15" s="23"/>
      <c r="C15" s="21"/>
      <c r="D15" s="16"/>
      <c r="F15" s="17"/>
      <c r="G15" s="17"/>
      <c r="H15" s="22"/>
      <c r="I15" s="25"/>
      <c r="J15" s="24"/>
    </row>
    <row r="16" spans="1:13" x14ac:dyDescent="0.3">
      <c r="A16" s="23"/>
      <c r="C16" s="21"/>
      <c r="D16" s="16"/>
      <c r="F16" s="17"/>
      <c r="G16" s="17"/>
      <c r="H16" s="22"/>
      <c r="I16" s="25"/>
      <c r="J16" s="24"/>
    </row>
    <row r="17" spans="1:10" x14ac:dyDescent="0.3">
      <c r="A17" s="23"/>
      <c r="C17" s="21"/>
      <c r="D17" s="16"/>
      <c r="F17" s="17"/>
      <c r="G17" s="17"/>
      <c r="H17" s="22"/>
      <c r="I17" s="25"/>
      <c r="J17" s="24"/>
    </row>
    <row r="18" spans="1:10" x14ac:dyDescent="0.3">
      <c r="A18" s="23"/>
      <c r="C18" s="21"/>
      <c r="D18" s="16"/>
      <c r="F18" s="17"/>
      <c r="G18" s="17"/>
      <c r="H18" s="22"/>
      <c r="I18" s="25"/>
      <c r="J18" s="24"/>
    </row>
    <row r="19" spans="1:10" x14ac:dyDescent="0.3">
      <c r="A19" s="23"/>
      <c r="C19" s="21"/>
      <c r="D19" s="16"/>
      <c r="F19" s="17"/>
      <c r="G19" s="17"/>
      <c r="H19" s="22"/>
      <c r="I19" s="25"/>
      <c r="J19" s="24"/>
    </row>
    <row r="20" spans="1:10" x14ac:dyDescent="0.3">
      <c r="A20" s="23"/>
      <c r="C20" s="21"/>
      <c r="D20" s="16"/>
      <c r="F20" s="17"/>
      <c r="G20" s="17"/>
      <c r="H20" s="22"/>
      <c r="I20" s="25"/>
      <c r="J20" s="24"/>
    </row>
    <row r="21" spans="1:10" x14ac:dyDescent="0.3">
      <c r="A21" s="23"/>
      <c r="C21" s="21"/>
      <c r="D21" s="16"/>
      <c r="F21" s="17"/>
      <c r="G21" s="17"/>
      <c r="H21" s="22"/>
      <c r="I21" s="25"/>
      <c r="J21" s="24"/>
    </row>
    <row r="22" spans="1:10" x14ac:dyDescent="0.3">
      <c r="A22" s="23"/>
      <c r="C22" s="21"/>
      <c r="D22" s="16"/>
      <c r="F22" s="17"/>
      <c r="G22" s="17"/>
      <c r="H22" s="22"/>
      <c r="I22" s="25"/>
      <c r="J22" s="24"/>
    </row>
    <row r="23" spans="1:10" x14ac:dyDescent="0.3">
      <c r="A23" s="23"/>
      <c r="C23" s="21"/>
      <c r="D23" s="16"/>
      <c r="F23" s="17"/>
      <c r="G23" s="17"/>
      <c r="H23" s="22"/>
      <c r="I23" s="25"/>
      <c r="J23" s="24"/>
    </row>
    <row r="24" spans="1:10" x14ac:dyDescent="0.3">
      <c r="A24" s="23"/>
      <c r="C24" s="21"/>
      <c r="D24" s="16"/>
      <c r="F24" s="17"/>
      <c r="G24" s="17"/>
      <c r="H24" s="22"/>
      <c r="I24" s="25"/>
      <c r="J24" s="24"/>
    </row>
    <row r="25" spans="1:10" x14ac:dyDescent="0.3">
      <c r="A25" s="23"/>
      <c r="C25" s="21"/>
      <c r="D25" s="16"/>
      <c r="F25" s="17"/>
      <c r="G25" s="17"/>
      <c r="H25" s="22"/>
      <c r="I25" s="25"/>
      <c r="J25" s="24"/>
    </row>
    <row r="26" spans="1:10" x14ac:dyDescent="0.3">
      <c r="A26" s="23"/>
      <c r="C26" s="21"/>
      <c r="D26" s="16"/>
      <c r="F26" s="17"/>
      <c r="G26" s="17"/>
      <c r="H26" s="22"/>
      <c r="I26" s="25"/>
      <c r="J26" s="24"/>
    </row>
    <row r="27" spans="1:10" x14ac:dyDescent="0.3">
      <c r="A27" s="23"/>
      <c r="C27" s="21"/>
      <c r="D27" s="16"/>
      <c r="F27" s="17"/>
      <c r="G27" s="17"/>
      <c r="H27" s="22"/>
      <c r="I27" s="25"/>
      <c r="J27" s="24"/>
    </row>
  </sheetData>
  <phoneticPr fontId="18" type="noConversion"/>
  <dataValidations count="2">
    <dataValidation type="list" allowBlank="1" showInputMessage="1" showErrorMessage="1" sqref="B8:B27" xr:uid="{00000000-0002-0000-0300-000000000000}">
      <formula1>Placa</formula1>
    </dataValidation>
    <dataValidation type="list" allowBlank="1" showInputMessage="1" showErrorMessage="1" sqref="E8:E27" xr:uid="{00000000-0002-0000-0300-000001000000}">
      <formula1>Posto</formula1>
    </dataValidation>
  </dataValidations>
  <hyperlinks>
    <hyperlink ref="A4" location="'1. SOBRE'!A4" display="1. SOBRE" xr:uid="{00000000-0004-0000-0300-000000000000}"/>
    <hyperlink ref="B4" location="'2. CADASTRO DE VEÍCULOS'!B4" display="2. CADASTRO DE VEÍCULOS" xr:uid="{00000000-0004-0000-0300-000001000000}"/>
    <hyperlink ref="C4" location="'3. CADASTROS GERAIS'!C4" display="3. CADASTROS GERAIS" xr:uid="{00000000-0004-0000-0300-000002000000}"/>
    <hyperlink ref="E4" location="'5. MANUTENÇÕES'!E4" display="5. MANUTENÇÕES" xr:uid="{00000000-0004-0000-0300-000003000000}"/>
    <hyperlink ref="F4" location="'6. TROCAS DE ÓLEO'!F4" display="6. TROCAS DE ÓLEO" xr:uid="{00000000-0004-0000-0300-000004000000}"/>
    <hyperlink ref="G4" location="'7. ANÁLISE GERAL'!G4" display="7. ANÁLISE GERAL" xr:uid="{00000000-0004-0000-03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2:N60"/>
  <sheetViews>
    <sheetView showGridLines="0" topLeftCell="B1" workbookViewId="0">
      <pane ySplit="4" topLeftCell="A5" activePane="bottomLeft" state="frozen"/>
      <selection pane="bottomLeft" activeCell="H8" sqref="H8"/>
    </sheetView>
  </sheetViews>
  <sheetFormatPr defaultRowHeight="15" customHeight="1" x14ac:dyDescent="0.3"/>
  <cols>
    <col min="1" max="1" width="24.6640625" customWidth="1"/>
    <col min="2" max="2" width="24.44140625" customWidth="1"/>
    <col min="3" max="3" width="34.88671875" customWidth="1"/>
    <col min="4" max="4" width="19.109375" customWidth="1"/>
    <col min="5" max="5" width="21.6640625" customWidth="1"/>
    <col min="6" max="6" width="17.6640625" customWidth="1"/>
    <col min="7" max="7" width="33.88671875" customWidth="1"/>
    <col min="8" max="8" width="24.88671875" customWidth="1"/>
    <col min="9" max="9" width="17" bestFit="1" customWidth="1"/>
  </cols>
  <sheetData>
    <row r="2" spans="1:14" ht="14.4" x14ac:dyDescent="0.3">
      <c r="A2" s="7"/>
    </row>
    <row r="3" spans="1:14" ht="32.25" customHeight="1" x14ac:dyDescent="0.45">
      <c r="C3" s="5" t="s">
        <v>1</v>
      </c>
      <c r="D3" s="5"/>
      <c r="E3" s="5"/>
      <c r="F3" s="6"/>
    </row>
    <row r="4" spans="1:14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4" t="s">
        <v>6</v>
      </c>
      <c r="F4" s="8" t="s">
        <v>7</v>
      </c>
      <c r="G4" s="8" t="s">
        <v>8</v>
      </c>
      <c r="H4" s="71"/>
      <c r="I4" s="2"/>
      <c r="J4" s="2"/>
      <c r="K4" s="2"/>
      <c r="L4" s="2"/>
      <c r="M4" s="2"/>
      <c r="N4" s="2"/>
    </row>
    <row r="6" spans="1:14" ht="14.4" x14ac:dyDescent="0.3">
      <c r="A6" s="26" t="s">
        <v>48</v>
      </c>
      <c r="B6" s="26"/>
      <c r="C6" s="26"/>
      <c r="D6" s="26"/>
      <c r="E6" s="26"/>
      <c r="F6" s="26"/>
      <c r="G6" s="27"/>
      <c r="H6" s="27"/>
      <c r="I6" s="26"/>
    </row>
    <row r="7" spans="1:14" s="20" customFormat="1" ht="14.4" x14ac:dyDescent="0.3">
      <c r="A7" s="72" t="s">
        <v>42</v>
      </c>
      <c r="B7" s="72" t="s">
        <v>13</v>
      </c>
      <c r="C7" s="73" t="s">
        <v>15</v>
      </c>
      <c r="D7" s="73" t="s">
        <v>14</v>
      </c>
      <c r="E7" s="72" t="s">
        <v>49</v>
      </c>
      <c r="F7" s="72" t="s">
        <v>50</v>
      </c>
      <c r="G7" s="72" t="s">
        <v>51</v>
      </c>
      <c r="H7" s="72" t="s">
        <v>136</v>
      </c>
      <c r="I7" s="74" t="s">
        <v>43</v>
      </c>
    </row>
    <row r="8" spans="1:14" ht="14.4" customHeight="1" x14ac:dyDescent="0.3">
      <c r="A8" s="23">
        <v>45748</v>
      </c>
      <c r="B8" s="82" t="s">
        <v>18</v>
      </c>
      <c r="C8" s="21" t="str">
        <f>IFERROR(VLOOKUP(B8,'2. CADASTRO DE VEÍCULOS'!B:D,3,0),"")</f>
        <v>CITY SEDAN EX 1.5 FLEX 16V 4P AUTOMATICO</v>
      </c>
      <c r="D8" s="81" t="str">
        <f>IFERROR(VLOOKUP(B8,'2. CADASTRO DE VEÍCULOS'!B:C,2,0),"")</f>
        <v>HONDA</v>
      </c>
      <c r="E8" t="s">
        <v>37</v>
      </c>
      <c r="F8" s="82" t="s">
        <v>28</v>
      </c>
      <c r="G8" s="69" t="s">
        <v>52</v>
      </c>
      <c r="H8" s="82" t="s">
        <v>33</v>
      </c>
      <c r="I8" s="17">
        <v>90</v>
      </c>
    </row>
    <row r="9" spans="1:14" ht="15" customHeight="1" x14ac:dyDescent="0.3">
      <c r="A9" s="23">
        <v>45748</v>
      </c>
      <c r="B9" s="82" t="s">
        <v>18</v>
      </c>
      <c r="C9" s="21" t="str">
        <f>IFERROR(VLOOKUP(B9,'2. CADASTRO DE VEÍCULOS'!B:D,3,0),"")</f>
        <v>CITY SEDAN EX 1.5 FLEX 16V 4P AUTOMATICO</v>
      </c>
      <c r="D9" s="81" t="str">
        <f>IFERROR(VLOOKUP(B9,'2. CADASTRO DE VEÍCULOS'!B:C,2,0),"")</f>
        <v>HONDA</v>
      </c>
      <c r="E9" t="s">
        <v>37</v>
      </c>
      <c r="F9" s="82" t="s">
        <v>28</v>
      </c>
      <c r="G9" s="69" t="s">
        <v>53</v>
      </c>
      <c r="H9" s="82" t="s">
        <v>33</v>
      </c>
      <c r="I9" s="17">
        <v>198</v>
      </c>
    </row>
    <row r="10" spans="1:14" ht="14.4" x14ac:dyDescent="0.3">
      <c r="A10" s="23">
        <v>45748</v>
      </c>
      <c r="B10" s="82" t="s">
        <v>18</v>
      </c>
      <c r="C10" s="21" t="str">
        <f>IFERROR(VLOOKUP(B10,'2. CADASTRO DE VEÍCULOS'!B:D,3,0),"")</f>
        <v>CITY SEDAN EX 1.5 FLEX 16V 4P AUTOMATICO</v>
      </c>
      <c r="D10" s="81" t="str">
        <f>IFERROR(VLOOKUP(B10,'2. CADASTRO DE VEÍCULOS'!B:C,2,0),"")</f>
        <v>HONDA</v>
      </c>
      <c r="E10" t="s">
        <v>37</v>
      </c>
      <c r="F10" s="82" t="s">
        <v>28</v>
      </c>
      <c r="G10" s="69" t="s">
        <v>54</v>
      </c>
      <c r="H10" s="82" t="s">
        <v>33</v>
      </c>
      <c r="I10" s="17">
        <v>48</v>
      </c>
    </row>
    <row r="11" spans="1:14" ht="14.4" x14ac:dyDescent="0.3">
      <c r="A11" s="23">
        <v>45748</v>
      </c>
      <c r="B11" s="82" t="s">
        <v>18</v>
      </c>
      <c r="C11" s="21" t="str">
        <f>IFERROR(VLOOKUP(B11,'2. CADASTRO DE VEÍCULOS'!B:D,3,0),"")</f>
        <v>CITY SEDAN EX 1.5 FLEX 16V 4P AUTOMATICO</v>
      </c>
      <c r="D11" s="81" t="str">
        <f>IFERROR(VLOOKUP(B11,'2. CADASTRO DE VEÍCULOS'!B:C,2,0),"")</f>
        <v>HONDA</v>
      </c>
      <c r="E11" t="s">
        <v>37</v>
      </c>
      <c r="F11" s="82" t="s">
        <v>28</v>
      </c>
      <c r="G11" s="69" t="s">
        <v>55</v>
      </c>
      <c r="H11" s="82" t="s">
        <v>33</v>
      </c>
      <c r="I11" s="17">
        <v>50</v>
      </c>
    </row>
    <row r="12" spans="1:14" ht="17.25" customHeight="1" x14ac:dyDescent="0.3">
      <c r="A12" s="23">
        <v>45748</v>
      </c>
      <c r="B12" s="82" t="s">
        <v>18</v>
      </c>
      <c r="C12" s="21" t="str">
        <f>IFERROR(VLOOKUP(B12,'2. CADASTRO DE VEÍCULOS'!B:D,3,0),"")</f>
        <v>CITY SEDAN EX 1.5 FLEX 16V 4P AUTOMATICO</v>
      </c>
      <c r="D12" s="81" t="str">
        <f>IFERROR(VLOOKUP(B12,'2. CADASTRO DE VEÍCULOS'!B:C,2,0),"")</f>
        <v>HONDA</v>
      </c>
      <c r="E12" t="s">
        <v>37</v>
      </c>
      <c r="F12" s="82" t="s">
        <v>28</v>
      </c>
      <c r="G12" s="69" t="s">
        <v>56</v>
      </c>
      <c r="H12" s="82" t="s">
        <v>33</v>
      </c>
      <c r="I12" s="17">
        <v>40</v>
      </c>
    </row>
    <row r="13" spans="1:14" ht="14.4" x14ac:dyDescent="0.3">
      <c r="A13" s="23">
        <v>45748</v>
      </c>
      <c r="B13" s="82" t="s">
        <v>18</v>
      </c>
      <c r="C13" s="21" t="str">
        <f>IFERROR(VLOOKUP(B13,'2. CADASTRO DE VEÍCULOS'!B:D,3,0),"")</f>
        <v>CITY SEDAN EX 1.5 FLEX 16V 4P AUTOMATICO</v>
      </c>
      <c r="D13" s="81" t="str">
        <f>IFERROR(VLOOKUP(B13,'2. CADASTRO DE VEÍCULOS'!B:C,2,0),"")</f>
        <v>HONDA</v>
      </c>
      <c r="E13" t="s">
        <v>37</v>
      </c>
      <c r="F13" s="82" t="s">
        <v>28</v>
      </c>
      <c r="G13" s="69" t="s">
        <v>57</v>
      </c>
      <c r="H13" s="82" t="s">
        <v>33</v>
      </c>
      <c r="I13" s="17">
        <v>78</v>
      </c>
    </row>
    <row r="14" spans="1:14" ht="14.4" x14ac:dyDescent="0.3">
      <c r="A14" s="23">
        <v>45748</v>
      </c>
      <c r="B14" s="82" t="s">
        <v>18</v>
      </c>
      <c r="C14" s="21" t="str">
        <f>IFERROR(VLOOKUP(B14,'2. CADASTRO DE VEÍCULOS'!B:D,3,0),"")</f>
        <v>CITY SEDAN EX 1.5 FLEX 16V 4P AUTOMATICO</v>
      </c>
      <c r="D14" s="81" t="str">
        <f>IFERROR(VLOOKUP(B14,'2. CADASTRO DE VEÍCULOS'!B:C,2,0),"")</f>
        <v>HONDA</v>
      </c>
      <c r="E14" t="s">
        <v>37</v>
      </c>
      <c r="F14" s="82" t="s">
        <v>28</v>
      </c>
      <c r="G14" s="69" t="s">
        <v>58</v>
      </c>
      <c r="H14" s="82" t="s">
        <v>33</v>
      </c>
      <c r="I14" s="17">
        <v>50</v>
      </c>
    </row>
    <row r="15" spans="1:14" ht="14.4" x14ac:dyDescent="0.3">
      <c r="A15" s="23">
        <v>45748</v>
      </c>
      <c r="B15" s="82" t="s">
        <v>18</v>
      </c>
      <c r="C15" s="21" t="str">
        <f>IFERROR(VLOOKUP(B15,'2. CADASTRO DE VEÍCULOS'!B:D,3,0),"")</f>
        <v>CITY SEDAN EX 1.5 FLEX 16V 4P AUTOMATICO</v>
      </c>
      <c r="D15" s="81" t="str">
        <f>IFERROR(VLOOKUP(B15,'2. CADASTRO DE VEÍCULOS'!B:C,2,0),"")</f>
        <v>HONDA</v>
      </c>
      <c r="E15" t="s">
        <v>37</v>
      </c>
      <c r="F15" s="82" t="s">
        <v>28</v>
      </c>
      <c r="G15" s="69" t="s">
        <v>59</v>
      </c>
      <c r="H15" s="82" t="s">
        <v>33</v>
      </c>
      <c r="I15" s="17">
        <v>56</v>
      </c>
    </row>
    <row r="16" spans="1:14" ht="14.4" x14ac:dyDescent="0.3">
      <c r="A16" s="23">
        <v>45748</v>
      </c>
      <c r="B16" s="82" t="s">
        <v>18</v>
      </c>
      <c r="C16" s="21" t="str">
        <f>IFERROR(VLOOKUP(B16,'2. CADASTRO DE VEÍCULOS'!B:D,3,0),"")</f>
        <v>CITY SEDAN EX 1.5 FLEX 16V 4P AUTOMATICO</v>
      </c>
      <c r="D16" s="81" t="str">
        <f>IFERROR(VLOOKUP(B16,'2. CADASTRO DE VEÍCULOS'!B:C,2,0),"")</f>
        <v>HONDA</v>
      </c>
      <c r="E16" t="s">
        <v>37</v>
      </c>
      <c r="F16" s="82" t="s">
        <v>125</v>
      </c>
      <c r="G16" s="69" t="s">
        <v>60</v>
      </c>
      <c r="H16" s="82" t="s">
        <v>33</v>
      </c>
      <c r="I16" s="17">
        <v>30</v>
      </c>
    </row>
    <row r="17" spans="1:9" ht="14.4" x14ac:dyDescent="0.3">
      <c r="A17" s="23">
        <v>45748</v>
      </c>
      <c r="B17" s="82" t="s">
        <v>18</v>
      </c>
      <c r="C17" s="21" t="str">
        <f>IFERROR(VLOOKUP(B17,'2. CADASTRO DE VEÍCULOS'!B:D,3,0),"")</f>
        <v>CITY SEDAN EX 1.5 FLEX 16V 4P AUTOMATICO</v>
      </c>
      <c r="D17" s="81" t="str">
        <f>IFERROR(VLOOKUP(B17,'2. CADASTRO DE VEÍCULOS'!B:C,2,0),"")</f>
        <v>HONDA</v>
      </c>
      <c r="E17" t="s">
        <v>37</v>
      </c>
      <c r="F17" s="82" t="s">
        <v>28</v>
      </c>
      <c r="G17" s="69" t="s">
        <v>61</v>
      </c>
      <c r="H17" s="82" t="s">
        <v>33</v>
      </c>
      <c r="I17" s="17">
        <v>28</v>
      </c>
    </row>
    <row r="18" spans="1:9" ht="14.4" x14ac:dyDescent="0.3">
      <c r="A18" s="23">
        <v>45748</v>
      </c>
      <c r="B18" s="82" t="s">
        <v>18</v>
      </c>
      <c r="C18" s="21" t="str">
        <f>IFERROR(VLOOKUP(B18,'2. CADASTRO DE VEÍCULOS'!B:D,3,0),"")</f>
        <v>CITY SEDAN EX 1.5 FLEX 16V 4P AUTOMATICO</v>
      </c>
      <c r="D18" s="81" t="str">
        <f>IFERROR(VLOOKUP(B18,'2. CADASTRO DE VEÍCULOS'!B:C,2,0),"")</f>
        <v>HONDA</v>
      </c>
      <c r="E18" t="s">
        <v>37</v>
      </c>
      <c r="F18" s="82" t="s">
        <v>28</v>
      </c>
      <c r="G18" s="69" t="s">
        <v>62</v>
      </c>
      <c r="H18" s="82" t="s">
        <v>33</v>
      </c>
      <c r="I18" s="17">
        <v>28</v>
      </c>
    </row>
    <row r="19" spans="1:9" ht="14.4" x14ac:dyDescent="0.3">
      <c r="A19" s="23">
        <v>45748</v>
      </c>
      <c r="B19" s="82" t="s">
        <v>18</v>
      </c>
      <c r="C19" s="21" t="str">
        <f>IFERROR(VLOOKUP(B19,'2. CADASTRO DE VEÍCULOS'!B:D,3,0),"")</f>
        <v>CITY SEDAN EX 1.5 FLEX 16V 4P AUTOMATICO</v>
      </c>
      <c r="D19" s="81" t="str">
        <f>IFERROR(VLOOKUP(B19,'2. CADASTRO DE VEÍCULOS'!B:C,2,0),"")</f>
        <v>HONDA</v>
      </c>
      <c r="E19" t="s">
        <v>37</v>
      </c>
      <c r="F19" s="82" t="s">
        <v>28</v>
      </c>
      <c r="G19" s="69" t="s">
        <v>63</v>
      </c>
      <c r="H19" s="82" t="s">
        <v>33</v>
      </c>
      <c r="I19" s="17">
        <v>160</v>
      </c>
    </row>
    <row r="20" spans="1:9" ht="14.4" x14ac:dyDescent="0.3">
      <c r="A20" s="23">
        <v>45748</v>
      </c>
      <c r="B20" s="82" t="s">
        <v>18</v>
      </c>
      <c r="C20" s="21" t="str">
        <f>IFERROR(VLOOKUP(B20,'2. CADASTRO DE VEÍCULOS'!B:D,3,0),"")</f>
        <v>CITY SEDAN EX 1.5 FLEX 16V 4P AUTOMATICO</v>
      </c>
      <c r="D20" s="81" t="str">
        <f>IFERROR(VLOOKUP(B20,'2. CADASTRO DE VEÍCULOS'!B:C,2,0),"")</f>
        <v>HONDA</v>
      </c>
      <c r="E20" t="s">
        <v>37</v>
      </c>
      <c r="F20" s="82" t="s">
        <v>28</v>
      </c>
      <c r="G20" s="69" t="s">
        <v>64</v>
      </c>
      <c r="H20" s="82" t="s">
        <v>33</v>
      </c>
      <c r="I20" s="17">
        <v>110</v>
      </c>
    </row>
    <row r="21" spans="1:9" ht="14.4" x14ac:dyDescent="0.3">
      <c r="A21" s="23">
        <v>45748</v>
      </c>
      <c r="B21" s="82" t="s">
        <v>18</v>
      </c>
      <c r="C21" s="21" t="str">
        <f>IFERROR(VLOOKUP(B21,'2. CADASTRO DE VEÍCULOS'!B:D,3,0),"")</f>
        <v>CITY SEDAN EX 1.5 FLEX 16V 4P AUTOMATICO</v>
      </c>
      <c r="D21" s="81" t="str">
        <f>IFERROR(VLOOKUP(B21,'2. CADASTRO DE VEÍCULOS'!B:C,2,0),"")</f>
        <v>HONDA</v>
      </c>
      <c r="E21" t="s">
        <v>37</v>
      </c>
      <c r="F21" s="82" t="s">
        <v>28</v>
      </c>
      <c r="G21" s="69" t="s">
        <v>129</v>
      </c>
      <c r="H21" s="82" t="s">
        <v>33</v>
      </c>
      <c r="I21" s="17">
        <v>256</v>
      </c>
    </row>
    <row r="22" spans="1:9" ht="14.4" x14ac:dyDescent="0.3">
      <c r="A22" s="23">
        <v>45748</v>
      </c>
      <c r="B22" s="82" t="s">
        <v>18</v>
      </c>
      <c r="C22" s="21" t="str">
        <f>IFERROR(VLOOKUP(B22,'2. CADASTRO DE VEÍCULOS'!B:D,3,0),"")</f>
        <v>CITY SEDAN EX 1.5 FLEX 16V 4P AUTOMATICO</v>
      </c>
      <c r="D22" s="81" t="str">
        <f>IFERROR(VLOOKUP(B22,'2. CADASTRO DE VEÍCULOS'!B:C,2,0),"")</f>
        <v>HONDA</v>
      </c>
      <c r="E22" t="s">
        <v>37</v>
      </c>
      <c r="F22" s="82" t="s">
        <v>130</v>
      </c>
      <c r="G22" s="69" t="s">
        <v>65</v>
      </c>
      <c r="H22" s="82" t="s">
        <v>33</v>
      </c>
      <c r="I22" s="17">
        <v>95</v>
      </c>
    </row>
    <row r="23" spans="1:9" ht="14.4" x14ac:dyDescent="0.3">
      <c r="A23" s="23">
        <v>45748</v>
      </c>
      <c r="B23" s="82" t="s">
        <v>18</v>
      </c>
      <c r="C23" s="21" t="str">
        <f>IFERROR(VLOOKUP(B23,'2. CADASTRO DE VEÍCULOS'!B:D,3,0),"")</f>
        <v>CITY SEDAN EX 1.5 FLEX 16V 4P AUTOMATICO</v>
      </c>
      <c r="D23" s="81" t="str">
        <f>IFERROR(VLOOKUP(B23,'2. CADASTRO DE VEÍCULOS'!B:C,2,0),"")</f>
        <v>HONDA</v>
      </c>
      <c r="E23" t="s">
        <v>37</v>
      </c>
      <c r="F23" s="82" t="s">
        <v>28</v>
      </c>
      <c r="G23" s="69" t="s">
        <v>66</v>
      </c>
      <c r="H23" s="82" t="s">
        <v>33</v>
      </c>
      <c r="I23" s="17">
        <v>235</v>
      </c>
    </row>
    <row r="24" spans="1:9" ht="14.4" x14ac:dyDescent="0.3">
      <c r="A24" s="23">
        <v>45748</v>
      </c>
      <c r="B24" s="82" t="s">
        <v>18</v>
      </c>
      <c r="C24" s="21" t="str">
        <f>IFERROR(VLOOKUP(B24,'2. CADASTRO DE VEÍCULOS'!B:D,3,0),"")</f>
        <v>CITY SEDAN EX 1.5 FLEX 16V 4P AUTOMATICO</v>
      </c>
      <c r="D24" s="81" t="str">
        <f>IFERROR(VLOOKUP(B24,'2. CADASTRO DE VEÍCULOS'!B:C,2,0),"")</f>
        <v>HONDA</v>
      </c>
      <c r="E24" t="s">
        <v>37</v>
      </c>
      <c r="F24" s="82" t="s">
        <v>28</v>
      </c>
      <c r="G24" s="69" t="s">
        <v>67</v>
      </c>
      <c r="H24" s="82" t="s">
        <v>33</v>
      </c>
      <c r="I24" s="17">
        <v>470</v>
      </c>
    </row>
    <row r="25" spans="1:9" ht="14.4" x14ac:dyDescent="0.3">
      <c r="A25" s="23">
        <v>45748</v>
      </c>
      <c r="B25" s="82" t="s">
        <v>18</v>
      </c>
      <c r="C25" s="21" t="str">
        <f>IFERROR(VLOOKUP(B25,'2. CADASTRO DE VEÍCULOS'!B:D,3,0),"")</f>
        <v>CITY SEDAN EX 1.5 FLEX 16V 4P AUTOMATICO</v>
      </c>
      <c r="D25" s="81" t="str">
        <f>IFERROR(VLOOKUP(B25,'2. CADASTRO DE VEÍCULOS'!B:C,2,0),"")</f>
        <v>HONDA</v>
      </c>
      <c r="E25" t="s">
        <v>37</v>
      </c>
      <c r="F25" s="82" t="s">
        <v>28</v>
      </c>
      <c r="G25" s="69" t="s">
        <v>68</v>
      </c>
      <c r="H25" s="82" t="s">
        <v>33</v>
      </c>
      <c r="I25" s="17">
        <v>690</v>
      </c>
    </row>
    <row r="26" spans="1:9" ht="14.4" x14ac:dyDescent="0.3">
      <c r="A26" s="23">
        <v>45748</v>
      </c>
      <c r="B26" s="82" t="s">
        <v>18</v>
      </c>
      <c r="C26" s="21" t="str">
        <f>IFERROR(VLOOKUP(B26,'2. CADASTRO DE VEÍCULOS'!B:D,3,0),"")</f>
        <v>CITY SEDAN EX 1.5 FLEX 16V 4P AUTOMATICO</v>
      </c>
      <c r="D26" s="81" t="str">
        <f>IFERROR(VLOOKUP(B26,'2. CADASTRO DE VEÍCULOS'!B:C,2,0),"")</f>
        <v>HONDA</v>
      </c>
      <c r="E26" t="s">
        <v>37</v>
      </c>
      <c r="F26" s="82" t="s">
        <v>30</v>
      </c>
      <c r="G26" s="69" t="s">
        <v>69</v>
      </c>
      <c r="H26" s="82" t="s">
        <v>34</v>
      </c>
      <c r="I26" s="17">
        <v>60</v>
      </c>
    </row>
    <row r="27" spans="1:9" ht="14.4" x14ac:dyDescent="0.3">
      <c r="A27" s="23">
        <v>45748</v>
      </c>
      <c r="B27" s="82" t="s">
        <v>18</v>
      </c>
      <c r="C27" s="21" t="str">
        <f>IFERROR(VLOOKUP(B27,'2. CADASTRO DE VEÍCULOS'!B:D,3,0),"")</f>
        <v>CITY SEDAN EX 1.5 FLEX 16V 4P AUTOMATICO</v>
      </c>
      <c r="D27" s="81" t="str">
        <f>IFERROR(VLOOKUP(B27,'2. CADASTRO DE VEÍCULOS'!B:C,2,0),"")</f>
        <v>HONDA</v>
      </c>
      <c r="E27" t="s">
        <v>37</v>
      </c>
      <c r="F27" s="82" t="s">
        <v>125</v>
      </c>
      <c r="G27" s="69" t="s">
        <v>70</v>
      </c>
      <c r="H27" s="82" t="s">
        <v>34</v>
      </c>
      <c r="I27" s="17">
        <v>70</v>
      </c>
    </row>
    <row r="28" spans="1:9" ht="14.4" x14ac:dyDescent="0.3">
      <c r="A28" s="23">
        <v>45748</v>
      </c>
      <c r="B28" s="82" t="s">
        <v>18</v>
      </c>
      <c r="C28" s="21" t="str">
        <f>IFERROR(VLOOKUP(B28,'2. CADASTRO DE VEÍCULOS'!B:D,3,0),"")</f>
        <v>CITY SEDAN EX 1.5 FLEX 16V 4P AUTOMATICO</v>
      </c>
      <c r="D28" s="81" t="str">
        <f>IFERROR(VLOOKUP(B28,'2. CADASTRO DE VEÍCULOS'!B:C,2,0),"")</f>
        <v>HONDA</v>
      </c>
      <c r="E28" t="s">
        <v>37</v>
      </c>
      <c r="F28" s="82" t="s">
        <v>28</v>
      </c>
      <c r="G28" s="69" t="s">
        <v>71</v>
      </c>
      <c r="H28" s="82" t="s">
        <v>34</v>
      </c>
      <c r="I28" s="17">
        <v>60</v>
      </c>
    </row>
    <row r="29" spans="1:9" ht="14.4" x14ac:dyDescent="0.3">
      <c r="A29" s="23">
        <v>45748</v>
      </c>
      <c r="B29" s="82" t="s">
        <v>18</v>
      </c>
      <c r="C29" s="21" t="str">
        <f>IFERROR(VLOOKUP(B29,'2. CADASTRO DE VEÍCULOS'!B:D,3,0),"")</f>
        <v>CITY SEDAN EX 1.5 FLEX 16V 4P AUTOMATICO</v>
      </c>
      <c r="D29" s="81" t="str">
        <f>IFERROR(VLOOKUP(B29,'2. CADASTRO DE VEÍCULOS'!B:C,2,0),"")</f>
        <v>HONDA</v>
      </c>
      <c r="E29" t="s">
        <v>37</v>
      </c>
      <c r="F29" s="82" t="s">
        <v>28</v>
      </c>
      <c r="G29" s="69" t="s">
        <v>72</v>
      </c>
      <c r="H29" s="82" t="s">
        <v>34</v>
      </c>
      <c r="I29" s="17">
        <v>240</v>
      </c>
    </row>
    <row r="30" spans="1:9" ht="14.4" x14ac:dyDescent="0.3">
      <c r="A30" s="23">
        <v>45748</v>
      </c>
      <c r="B30" s="82" t="s">
        <v>18</v>
      </c>
      <c r="C30" s="21" t="str">
        <f>IFERROR(VLOOKUP(B30,'2. CADASTRO DE VEÍCULOS'!B:D,3,0),"")</f>
        <v>CITY SEDAN EX 1.5 FLEX 16V 4P AUTOMATICO</v>
      </c>
      <c r="D30" s="81" t="str">
        <f>IFERROR(VLOOKUP(B30,'2. CADASTRO DE VEÍCULOS'!B:C,2,0),"")</f>
        <v>HONDA</v>
      </c>
      <c r="E30" t="s">
        <v>37</v>
      </c>
      <c r="F30" s="82" t="s">
        <v>28</v>
      </c>
      <c r="G30" s="69" t="s">
        <v>73</v>
      </c>
      <c r="H30" s="82" t="s">
        <v>34</v>
      </c>
      <c r="I30" s="17">
        <v>450</v>
      </c>
    </row>
    <row r="31" spans="1:9" ht="14.4" x14ac:dyDescent="0.3">
      <c r="A31" s="23">
        <v>45748</v>
      </c>
      <c r="B31" s="82" t="s">
        <v>18</v>
      </c>
      <c r="C31" s="21" t="str">
        <f>IFERROR(VLOOKUP(B31,'2. CADASTRO DE VEÍCULOS'!B:D,3,0),"")</f>
        <v>CITY SEDAN EX 1.5 FLEX 16V 4P AUTOMATICO</v>
      </c>
      <c r="D31" s="81" t="str">
        <f>IFERROR(VLOOKUP(B31,'2. CADASTRO DE VEÍCULOS'!B:C,2,0),"")</f>
        <v>HONDA</v>
      </c>
      <c r="E31" t="s">
        <v>37</v>
      </c>
      <c r="F31" s="82" t="s">
        <v>28</v>
      </c>
      <c r="G31" s="69" t="s">
        <v>74</v>
      </c>
      <c r="H31" s="82" t="s">
        <v>34</v>
      </c>
      <c r="I31" s="17">
        <v>90</v>
      </c>
    </row>
    <row r="32" spans="1:9" ht="14.4" x14ac:dyDescent="0.3">
      <c r="A32" s="23">
        <v>45748</v>
      </c>
      <c r="B32" s="82" t="s">
        <v>18</v>
      </c>
      <c r="C32" s="21" t="str">
        <f>IFERROR(VLOOKUP(B32,'2. CADASTRO DE VEÍCULOS'!B:D,3,0),"")</f>
        <v>CITY SEDAN EX 1.5 FLEX 16V 4P AUTOMATICO</v>
      </c>
      <c r="D32" s="81" t="str">
        <f>IFERROR(VLOOKUP(B32,'2. CADASTRO DE VEÍCULOS'!B:C,2,0),"")</f>
        <v>HONDA</v>
      </c>
      <c r="E32" t="s">
        <v>37</v>
      </c>
      <c r="F32" s="82" t="s">
        <v>28</v>
      </c>
      <c r="G32" s="69" t="s">
        <v>75</v>
      </c>
      <c r="H32" s="82" t="s">
        <v>34</v>
      </c>
      <c r="I32" s="17">
        <v>120</v>
      </c>
    </row>
    <row r="33" spans="1:9" ht="13.5" customHeight="1" x14ac:dyDescent="0.3">
      <c r="A33" s="23">
        <v>45748</v>
      </c>
      <c r="B33" s="82" t="s">
        <v>18</v>
      </c>
      <c r="C33" s="21" t="str">
        <f>IFERROR(VLOOKUP(B33,'2. CADASTRO DE VEÍCULOS'!B:D,3,0),"")</f>
        <v>CITY SEDAN EX 1.5 FLEX 16V 4P AUTOMATICO</v>
      </c>
      <c r="D33" s="81" t="str">
        <f>IFERROR(VLOOKUP(B33,'2. CADASTRO DE VEÍCULOS'!B:C,2,0),"")</f>
        <v>HONDA</v>
      </c>
      <c r="E33" t="s">
        <v>37</v>
      </c>
      <c r="F33" s="82" t="s">
        <v>28</v>
      </c>
      <c r="G33" s="76" t="s">
        <v>76</v>
      </c>
      <c r="H33" s="82" t="s">
        <v>34</v>
      </c>
      <c r="I33" s="17">
        <v>210</v>
      </c>
    </row>
    <row r="34" spans="1:9" ht="14.4" x14ac:dyDescent="0.3">
      <c r="A34" s="23">
        <v>45748</v>
      </c>
      <c r="B34" s="82" t="s">
        <v>18</v>
      </c>
      <c r="C34" s="21" t="str">
        <f>IFERROR(VLOOKUP(B34,'2. CADASTRO DE VEÍCULOS'!B:D,3,0),"")</f>
        <v>CITY SEDAN EX 1.5 FLEX 16V 4P AUTOMATICO</v>
      </c>
      <c r="D34" s="81" t="str">
        <f>IFERROR(VLOOKUP(B34,'2. CADASTRO DE VEÍCULOS'!B:C,2,0),"")</f>
        <v>HONDA</v>
      </c>
      <c r="E34" t="s">
        <v>37</v>
      </c>
      <c r="F34" s="82" t="s">
        <v>28</v>
      </c>
      <c r="G34" s="69" t="s">
        <v>77</v>
      </c>
      <c r="H34" s="82" t="s">
        <v>34</v>
      </c>
      <c r="I34" s="17">
        <v>240</v>
      </c>
    </row>
    <row r="35" spans="1:9" ht="14.4" x14ac:dyDescent="0.3">
      <c r="A35" s="23">
        <v>45748</v>
      </c>
      <c r="B35" s="82" t="s">
        <v>18</v>
      </c>
      <c r="C35" s="21" t="str">
        <f>IFERROR(VLOOKUP(B35,'2. CADASTRO DE VEÍCULOS'!B:D,3,0),"")</f>
        <v>CITY SEDAN EX 1.5 FLEX 16V 4P AUTOMATICO</v>
      </c>
      <c r="D35" s="81" t="str">
        <f>IFERROR(VLOOKUP(B35,'2. CADASTRO DE VEÍCULOS'!B:C,2,0),"")</f>
        <v>HONDA</v>
      </c>
      <c r="E35" t="s">
        <v>37</v>
      </c>
      <c r="F35" s="82" t="s">
        <v>28</v>
      </c>
      <c r="G35" s="69" t="s">
        <v>78</v>
      </c>
      <c r="H35" s="82" t="s">
        <v>34</v>
      </c>
      <c r="I35" s="17">
        <v>90</v>
      </c>
    </row>
    <row r="36" spans="1:9" ht="14.4" x14ac:dyDescent="0.3">
      <c r="A36" s="23">
        <v>45748</v>
      </c>
      <c r="B36" s="82" t="s">
        <v>18</v>
      </c>
      <c r="C36" s="21" t="str">
        <f>IFERROR(VLOOKUP(B36,'2. CADASTRO DE VEÍCULOS'!B:D,3,0),"")</f>
        <v>CITY SEDAN EX 1.5 FLEX 16V 4P AUTOMATICO</v>
      </c>
      <c r="D36" s="81" t="str">
        <f>IFERROR(VLOOKUP(B36,'2. CADASTRO DE VEÍCULOS'!B:C,2,0),"")</f>
        <v>HONDA</v>
      </c>
      <c r="E36" t="s">
        <v>37</v>
      </c>
      <c r="F36" s="82" t="s">
        <v>28</v>
      </c>
      <c r="G36" s="69" t="s">
        <v>79</v>
      </c>
      <c r="H36" s="82" t="s">
        <v>34</v>
      </c>
      <c r="I36" s="17">
        <v>110</v>
      </c>
    </row>
    <row r="37" spans="1:9" ht="14.4" x14ac:dyDescent="0.3">
      <c r="A37" s="23"/>
      <c r="C37" s="21"/>
      <c r="D37" s="16"/>
      <c r="I37" s="17"/>
    </row>
    <row r="38" spans="1:9" ht="14.4" x14ac:dyDescent="0.3">
      <c r="A38" s="23"/>
      <c r="C38" s="21"/>
      <c r="D38" s="16"/>
      <c r="I38" s="17"/>
    </row>
    <row r="39" spans="1:9" ht="14.4" x14ac:dyDescent="0.3">
      <c r="A39" s="23"/>
      <c r="C39" s="21"/>
      <c r="D39" s="16"/>
      <c r="I39" s="17"/>
    </row>
    <row r="40" spans="1:9" ht="14.4" x14ac:dyDescent="0.3">
      <c r="A40" s="23"/>
      <c r="C40" s="21"/>
      <c r="D40" s="16"/>
      <c r="I40" s="17"/>
    </row>
    <row r="41" spans="1:9" ht="14.4" x14ac:dyDescent="0.3">
      <c r="A41" s="23"/>
      <c r="C41" s="21"/>
      <c r="D41" s="16"/>
      <c r="I41" s="17"/>
    </row>
    <row r="42" spans="1:9" ht="14.4" x14ac:dyDescent="0.3">
      <c r="A42" s="23"/>
      <c r="C42" s="21"/>
      <c r="D42" s="16"/>
      <c r="I42" s="17"/>
    </row>
    <row r="43" spans="1:9" ht="14.4" x14ac:dyDescent="0.3">
      <c r="A43" s="23"/>
      <c r="C43" s="21"/>
      <c r="D43" s="16"/>
      <c r="I43" s="17"/>
    </row>
    <row r="44" spans="1:9" ht="14.4" x14ac:dyDescent="0.3">
      <c r="A44" s="23"/>
      <c r="C44" s="21"/>
      <c r="D44" s="16"/>
      <c r="I44" s="17"/>
    </row>
    <row r="45" spans="1:9" ht="14.4" x14ac:dyDescent="0.3">
      <c r="A45" s="23"/>
      <c r="C45" s="21"/>
      <c r="D45" s="16"/>
      <c r="I45" s="17"/>
    </row>
    <row r="46" spans="1:9" ht="14.4" x14ac:dyDescent="0.3">
      <c r="A46" s="23"/>
      <c r="C46" s="21"/>
      <c r="D46" s="16"/>
      <c r="I46" s="17"/>
    </row>
    <row r="47" spans="1:9" ht="14.4" x14ac:dyDescent="0.3">
      <c r="A47" s="23"/>
      <c r="C47" s="21"/>
      <c r="D47" s="16"/>
      <c r="I47" s="17"/>
    </row>
    <row r="48" spans="1:9" ht="14.4" x14ac:dyDescent="0.3">
      <c r="A48" s="23"/>
      <c r="C48" s="21"/>
      <c r="D48" s="16"/>
      <c r="I48" s="17"/>
    </row>
    <row r="49" spans="1:9" ht="14.4" x14ac:dyDescent="0.3">
      <c r="A49" s="23"/>
      <c r="C49" s="21"/>
      <c r="D49" s="16"/>
      <c r="I49" s="17"/>
    </row>
    <row r="50" spans="1:9" ht="14.4" x14ac:dyDescent="0.3">
      <c r="A50" s="23"/>
      <c r="C50" s="21"/>
      <c r="D50" s="16"/>
      <c r="I50" s="17"/>
    </row>
    <row r="51" spans="1:9" ht="14.4" x14ac:dyDescent="0.3">
      <c r="A51" s="23"/>
      <c r="C51" s="21"/>
      <c r="D51" s="16"/>
      <c r="I51" s="17"/>
    </row>
    <row r="52" spans="1:9" ht="14.4" x14ac:dyDescent="0.3">
      <c r="A52" s="23"/>
      <c r="C52" s="21"/>
      <c r="D52" s="16"/>
      <c r="I52" s="17"/>
    </row>
    <row r="53" spans="1:9" ht="14.4" x14ac:dyDescent="0.3">
      <c r="A53" s="23"/>
      <c r="C53" s="21"/>
      <c r="D53" s="16"/>
      <c r="I53" s="17"/>
    </row>
    <row r="54" spans="1:9" ht="14.4" x14ac:dyDescent="0.3">
      <c r="A54" s="23"/>
      <c r="C54" s="21"/>
      <c r="D54" s="16"/>
      <c r="I54" s="17"/>
    </row>
    <row r="55" spans="1:9" ht="14.4" x14ac:dyDescent="0.3">
      <c r="A55" s="23"/>
      <c r="C55" s="21"/>
      <c r="D55" s="16"/>
      <c r="I55" s="17"/>
    </row>
    <row r="56" spans="1:9" ht="14.4" x14ac:dyDescent="0.3">
      <c r="A56" s="23"/>
      <c r="C56" s="21"/>
      <c r="D56" s="16"/>
      <c r="I56" s="17"/>
    </row>
    <row r="57" spans="1:9" ht="14.4" x14ac:dyDescent="0.3">
      <c r="A57" s="23"/>
      <c r="C57" s="21"/>
      <c r="D57" s="16"/>
      <c r="I57" s="17"/>
    </row>
    <row r="58" spans="1:9" ht="14.4" x14ac:dyDescent="0.3">
      <c r="A58" s="23"/>
      <c r="C58" s="21"/>
      <c r="D58" s="16"/>
      <c r="I58" s="17"/>
    </row>
    <row r="59" spans="1:9" ht="14.4" x14ac:dyDescent="0.3">
      <c r="A59" s="23"/>
      <c r="C59" s="21"/>
      <c r="D59" s="16"/>
      <c r="I59" s="17"/>
    </row>
    <row r="60" spans="1:9" ht="14.4" x14ac:dyDescent="0.3">
      <c r="A60" s="23"/>
      <c r="C60" s="21"/>
      <c r="D60" s="16"/>
      <c r="I60" s="17"/>
    </row>
  </sheetData>
  <dataValidations count="3">
    <dataValidation type="list" allowBlank="1" showInputMessage="1" showErrorMessage="1" sqref="H8:H36 F8:F60" xr:uid="{00000000-0002-0000-0400-000000000000}">
      <formula1>Servico</formula1>
    </dataValidation>
    <dataValidation type="list" allowBlank="1" showInputMessage="1" showErrorMessage="1" sqref="B8:B60" xr:uid="{00000000-0002-0000-0400-000001000000}">
      <formula1>Placa</formula1>
    </dataValidation>
    <dataValidation type="list" allowBlank="1" showInputMessage="1" showErrorMessage="1" sqref="E8:E60" xr:uid="{00000000-0002-0000-0400-000002000000}">
      <formula1>Oficinas</formula1>
    </dataValidation>
  </dataValidations>
  <hyperlinks>
    <hyperlink ref="A4" location="'1. SOBRE'!A4" display="1. SOBRE" xr:uid="{00000000-0004-0000-0400-000000000000}"/>
    <hyperlink ref="B4" location="'2. CADASTRO DE VEÍCULOS'!B4" display="2. CADASTRO DE VEÍCULOS" xr:uid="{00000000-0004-0000-0400-000001000000}"/>
    <hyperlink ref="C4" location="'3. CADASTROS GERAIS'!C4" display="3. CADASTROS GERAIS" xr:uid="{00000000-0004-0000-0400-000002000000}"/>
    <hyperlink ref="D4" location="'4. ABASTECIMENTOS'!D4" display="4. ABASTECIMENTOS" xr:uid="{00000000-0004-0000-0400-000003000000}"/>
    <hyperlink ref="F4" location="'6. TROCAS DE ÓLEO'!F4" display="6. TROCAS DE ÓLEO" xr:uid="{00000000-0004-0000-0400-000004000000}"/>
    <hyperlink ref="G4" location="'7. ANÁLISE GERAL'!G4" display="7. ANÁLISE GERAL" xr:uid="{00000000-0004-0000-04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2:M11"/>
  <sheetViews>
    <sheetView showGridLines="0" topLeftCell="C1" workbookViewId="0">
      <pane ySplit="4" topLeftCell="A5" activePane="bottomLeft" state="frozen"/>
      <selection pane="bottomLeft" activeCell="K8" sqref="K8"/>
    </sheetView>
  </sheetViews>
  <sheetFormatPr defaultRowHeight="14.4" x14ac:dyDescent="0.3"/>
  <cols>
    <col min="1" max="1" width="24.6640625" customWidth="1"/>
    <col min="2" max="2" width="27.44140625" customWidth="1"/>
    <col min="3" max="3" width="31.33203125" bestFit="1" customWidth="1"/>
    <col min="4" max="4" width="21.77734375" customWidth="1"/>
    <col min="5" max="5" width="21.6640625" customWidth="1"/>
    <col min="6" max="6" width="23.6640625" customWidth="1"/>
    <col min="7" max="7" width="17.109375" customWidth="1"/>
    <col min="8" max="8" width="15.109375" customWidth="1"/>
    <col min="9" max="9" width="16" customWidth="1"/>
    <col min="10" max="10" width="22.33203125" bestFit="1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2"/>
      <c r="I4" s="2"/>
      <c r="J4" s="2"/>
      <c r="K4" s="2"/>
      <c r="L4" s="2"/>
      <c r="M4" s="2"/>
    </row>
    <row r="6" spans="1:13" s="29" customFormat="1" x14ac:dyDescent="0.3">
      <c r="A6" s="26" t="s">
        <v>80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</row>
    <row r="7" spans="1:13" s="20" customFormat="1" x14ac:dyDescent="0.3">
      <c r="A7" s="72" t="s">
        <v>42</v>
      </c>
      <c r="B7" s="72" t="s">
        <v>13</v>
      </c>
      <c r="C7" s="73" t="s">
        <v>15</v>
      </c>
      <c r="D7" s="73" t="s">
        <v>14</v>
      </c>
      <c r="E7" s="72" t="s">
        <v>49</v>
      </c>
      <c r="F7" s="72" t="s">
        <v>81</v>
      </c>
      <c r="G7" s="72" t="s">
        <v>82</v>
      </c>
      <c r="H7" s="72" t="s">
        <v>132</v>
      </c>
      <c r="I7" s="72" t="s">
        <v>83</v>
      </c>
      <c r="J7" s="20" t="s">
        <v>84</v>
      </c>
      <c r="K7" s="20" t="s">
        <v>85</v>
      </c>
      <c r="L7" s="20" t="s">
        <v>86</v>
      </c>
      <c r="M7" s="20" t="s">
        <v>87</v>
      </c>
    </row>
    <row r="8" spans="1:13" ht="15" customHeight="1" x14ac:dyDescent="0.3">
      <c r="A8" s="15">
        <v>45748</v>
      </c>
      <c r="B8" t="s">
        <v>18</v>
      </c>
      <c r="C8" s="21" t="str">
        <f>IFERROR(VLOOKUP(B8,'2. CADASTRO DE VEÍCULOS'!B:D,3,0),"")</f>
        <v>CITY SEDAN EX 1.5 FLEX 16V 4P AUTOMATICO</v>
      </c>
      <c r="D8" s="81" t="str">
        <f>IFERROR(VLOOKUP(B8,'2. CADASTRO DE VEÍCULOS'!B:C,2,0),"")</f>
        <v>HONDA</v>
      </c>
      <c r="E8" t="s">
        <v>37</v>
      </c>
      <c r="F8" t="s">
        <v>127</v>
      </c>
      <c r="G8" s="24">
        <f>IFERROR(VLOOKUP(F8,'3. CADASTROS GERAIS'!A:B,2,0),"")</f>
        <v>5000</v>
      </c>
      <c r="H8" s="76" t="s">
        <v>131</v>
      </c>
      <c r="I8" s="83" t="s">
        <v>88</v>
      </c>
      <c r="J8" s="82" t="s">
        <v>88</v>
      </c>
      <c r="K8" s="80">
        <v>256</v>
      </c>
      <c r="L8">
        <v>86939</v>
      </c>
      <c r="M8" s="28">
        <f>L8+G8</f>
        <v>91939</v>
      </c>
    </row>
    <row r="9" spans="1:13" x14ac:dyDescent="0.3">
      <c r="A9" s="15"/>
      <c r="C9" s="21"/>
      <c r="D9" s="16"/>
      <c r="G9" s="24"/>
      <c r="M9" s="28"/>
    </row>
    <row r="10" spans="1:13" x14ac:dyDescent="0.3">
      <c r="A10" s="15"/>
      <c r="C10" s="21"/>
      <c r="D10" s="16"/>
      <c r="G10" s="24"/>
      <c r="M10" s="28"/>
    </row>
    <row r="11" spans="1:13" x14ac:dyDescent="0.3">
      <c r="A11" s="15"/>
      <c r="C11" s="21"/>
      <c r="D11" s="16"/>
      <c r="G11" s="24"/>
      <c r="M11" s="28"/>
    </row>
  </sheetData>
  <dataValidations count="4">
    <dataValidation type="list" allowBlank="1" showInputMessage="1" showErrorMessage="1" sqref="B8:B11" xr:uid="{00000000-0002-0000-0500-000000000000}">
      <formula1>Placa</formula1>
    </dataValidation>
    <dataValidation type="list" allowBlank="1" showInputMessage="1" showErrorMessage="1" sqref="I8:J11" xr:uid="{00000000-0002-0000-0500-000001000000}">
      <formula1>"Sim,Não"</formula1>
    </dataValidation>
    <dataValidation type="list" allowBlank="1" showInputMessage="1" showErrorMessage="1" sqref="E8:E11" xr:uid="{00000000-0002-0000-0500-000002000000}">
      <formula1>Oficinas</formula1>
    </dataValidation>
    <dataValidation type="list" allowBlank="1" showInputMessage="1" showErrorMessage="1" sqref="F8:F11" xr:uid="{00000000-0002-0000-0500-000003000000}">
      <formula1>Oleo</formula1>
    </dataValidation>
  </dataValidations>
  <hyperlinks>
    <hyperlink ref="A4" location="'1. SOBRE'!A4" display="1. SOBRE" xr:uid="{00000000-0004-0000-0500-000000000000}"/>
    <hyperlink ref="B4" location="'2. CADASTRO DE VEÍCULOS'!B4" display="2. CADASTRO DE VEÍCULOS" xr:uid="{00000000-0004-0000-0500-000001000000}"/>
    <hyperlink ref="C4" location="'3. CADASTROS GERAIS'!C4" display="3. CADASTROS GERAIS" xr:uid="{00000000-0004-0000-0500-000002000000}"/>
    <hyperlink ref="D4" location="'4. ABASTECIMENTOS'!D4" display="4. ABASTECIMENTOS" xr:uid="{00000000-0004-0000-0500-000003000000}"/>
    <hyperlink ref="E4" location="'5. MANUTENÇÕES'!E4" display="5. MANUTENÇÕES" xr:uid="{00000000-0004-0000-0500-000004000000}"/>
    <hyperlink ref="G4" location="'7. ANÁLISE GERAL'!G4" display="7. ANÁLISE GERAL" xr:uid="{00000000-0004-0000-05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2:M4"/>
  <sheetViews>
    <sheetView showGridLines="0" workbookViewId="0">
      <pane ySplit="4" topLeftCell="A5" activePane="bottomLeft" state="frozen"/>
      <selection pane="bottomLeft" activeCell="H4" sqref="H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ht="14.4" customHeight="1" x14ac:dyDescent="0.3">
      <c r="A2" s="7"/>
      <c r="B2" s="90" t="s">
        <v>1</v>
      </c>
      <c r="C2" s="91"/>
      <c r="D2" s="91"/>
      <c r="E2" s="91"/>
      <c r="F2" s="91"/>
    </row>
    <row r="3" spans="1:13" ht="32.25" customHeight="1" x14ac:dyDescent="0.3">
      <c r="B3" s="92"/>
      <c r="C3" s="92"/>
      <c r="D3" s="92"/>
      <c r="E3" s="92"/>
      <c r="F3" s="92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4" t="s">
        <v>8</v>
      </c>
      <c r="H4" s="2"/>
      <c r="I4" s="2"/>
      <c r="J4" s="2"/>
      <c r="K4" s="2"/>
      <c r="L4" s="2"/>
      <c r="M4" s="2"/>
    </row>
  </sheetData>
  <mergeCells count="1">
    <mergeCell ref="B2:F3"/>
  </mergeCells>
  <hyperlinks>
    <hyperlink ref="A4" location="'1. SOBRE'!A4" display="1. SOBRE" xr:uid="{00000000-0004-0000-0600-000000000000}"/>
    <hyperlink ref="B4" location="'2. CADASTRO DE VEÍCULOS'!B4" display="2. CADASTRO DE VEÍCULOS" xr:uid="{00000000-0004-0000-0600-000001000000}"/>
    <hyperlink ref="C4" location="'3. CADASTROS GERAIS'!C4" display="3. CADASTROS GERAIS" xr:uid="{00000000-0004-0000-0600-000002000000}"/>
    <hyperlink ref="D4" location="'4. ABASTECIMENTOS'!D4" display="4. ABASTECIMENTOS" xr:uid="{00000000-0004-0000-0600-000003000000}"/>
    <hyperlink ref="E4" location="'5. MANUTENÇÕES'!E4" display="5. MANUTENÇÕES" xr:uid="{00000000-0004-0000-0600-000004000000}"/>
    <hyperlink ref="F4" location="'6. TROCAS DE ÓLEO'!F4" display="6. TROCAS DE ÓLEO" xr:uid="{00000000-0004-0000-06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A2:O27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12.5546875" bestFit="1" customWidth="1"/>
    <col min="3" max="3" width="12.5546875" customWidth="1"/>
    <col min="4" max="4" width="11.6640625" customWidth="1"/>
    <col min="5" max="5" width="11.33203125" customWidth="1"/>
    <col min="6" max="6" width="15.6640625" customWidth="1"/>
    <col min="7" max="7" width="15.33203125" customWidth="1"/>
    <col min="8" max="8" width="11.6640625" customWidth="1"/>
    <col min="9" max="9" width="10.6640625" customWidth="1"/>
    <col min="10" max="10" width="18" customWidth="1"/>
    <col min="11" max="11" width="14.5546875" customWidth="1"/>
    <col min="13" max="13" width="14.5546875" customWidth="1"/>
  </cols>
  <sheetData>
    <row r="2" spans="1:15" x14ac:dyDescent="0.3">
      <c r="A2" s="7"/>
      <c r="D2" s="93" t="s">
        <v>1</v>
      </c>
      <c r="E2" s="93"/>
      <c r="F2" s="93"/>
      <c r="G2" s="93"/>
      <c r="H2" s="93"/>
      <c r="I2" s="93"/>
      <c r="J2" s="93"/>
      <c r="K2" s="93"/>
    </row>
    <row r="3" spans="1:15" ht="32.25" customHeight="1" x14ac:dyDescent="0.3">
      <c r="D3" s="93"/>
      <c r="E3" s="93"/>
      <c r="F3" s="93"/>
      <c r="G3" s="93"/>
      <c r="H3" s="93"/>
      <c r="I3" s="93"/>
      <c r="J3" s="93"/>
      <c r="K3" s="93"/>
    </row>
    <row r="4" spans="1:15" ht="23.25" customHeight="1" x14ac:dyDescent="0.3">
      <c r="A4" s="8" t="s">
        <v>2</v>
      </c>
      <c r="B4" s="94" t="s">
        <v>3</v>
      </c>
      <c r="C4" s="95"/>
      <c r="D4" s="94" t="s">
        <v>4</v>
      </c>
      <c r="E4" s="95"/>
      <c r="F4" s="94" t="s">
        <v>5</v>
      </c>
      <c r="G4" s="95"/>
      <c r="H4" s="96" t="s">
        <v>6</v>
      </c>
      <c r="I4" s="97"/>
      <c r="J4" s="8" t="s">
        <v>7</v>
      </c>
      <c r="K4" s="4" t="s">
        <v>90</v>
      </c>
      <c r="L4" s="2"/>
      <c r="M4" s="2"/>
      <c r="N4" s="52"/>
      <c r="O4" s="52"/>
    </row>
    <row r="6" spans="1:15" ht="15" thickBot="1" x14ac:dyDescent="0.35">
      <c r="A6" s="13" t="s">
        <v>91</v>
      </c>
      <c r="B6" s="13"/>
      <c r="C6" s="18"/>
      <c r="D6" s="18"/>
      <c r="E6" s="13"/>
      <c r="F6" s="19"/>
      <c r="G6" s="47"/>
      <c r="H6" s="48" t="s">
        <v>92</v>
      </c>
      <c r="I6" s="1"/>
      <c r="J6" s="47"/>
      <c r="K6" s="30" t="s">
        <v>93</v>
      </c>
      <c r="L6" s="51"/>
      <c r="M6" s="51"/>
      <c r="N6" s="3"/>
    </row>
    <row r="7" spans="1:15" x14ac:dyDescent="0.3">
      <c r="A7" s="32"/>
      <c r="B7" s="31"/>
      <c r="C7" s="31"/>
      <c r="D7" s="31"/>
      <c r="E7" s="31"/>
      <c r="F7" s="31"/>
      <c r="G7" s="31"/>
      <c r="H7" s="31"/>
      <c r="I7" s="31"/>
    </row>
    <row r="8" spans="1:15" x14ac:dyDescent="0.3">
      <c r="A8" s="34"/>
    </row>
    <row r="9" spans="1:15" x14ac:dyDescent="0.3">
      <c r="A9" s="34"/>
      <c r="J9" s="41" t="s">
        <v>42</v>
      </c>
      <c r="K9" t="s">
        <v>137</v>
      </c>
    </row>
    <row r="10" spans="1:15" x14ac:dyDescent="0.3">
      <c r="A10" s="34"/>
    </row>
    <row r="11" spans="1:15" ht="15" thickBot="1" x14ac:dyDescent="0.35">
      <c r="A11" s="34"/>
      <c r="B11" s="26" t="s">
        <v>94</v>
      </c>
      <c r="C11" s="26"/>
      <c r="D11" s="26"/>
      <c r="E11" s="26"/>
      <c r="F11" s="26"/>
      <c r="G11" s="26"/>
      <c r="H11" s="26"/>
      <c r="J11" s="41" t="s">
        <v>95</v>
      </c>
      <c r="K11" t="s">
        <v>96</v>
      </c>
    </row>
    <row r="12" spans="1:15" x14ac:dyDescent="0.3">
      <c r="A12" s="34"/>
      <c r="B12" s="32"/>
      <c r="C12" s="31"/>
      <c r="D12" s="42" t="s">
        <v>97</v>
      </c>
      <c r="E12" s="31"/>
      <c r="F12" s="31"/>
      <c r="G12" s="33"/>
      <c r="J12" s="11" t="s">
        <v>20</v>
      </c>
      <c r="K12">
        <v>11.894322679317682</v>
      </c>
    </row>
    <row r="13" spans="1:15" x14ac:dyDescent="0.3">
      <c r="A13" s="34"/>
      <c r="B13" s="40" t="s">
        <v>13</v>
      </c>
      <c r="C13" s="41" t="s">
        <v>42</v>
      </c>
      <c r="D13" t="s">
        <v>98</v>
      </c>
      <c r="E13" t="s">
        <v>99</v>
      </c>
      <c r="F13" t="s">
        <v>100</v>
      </c>
      <c r="G13" s="35" t="s">
        <v>101</v>
      </c>
      <c r="J13" s="88" t="s">
        <v>102</v>
      </c>
      <c r="K13" s="53">
        <v>11.894322679317682</v>
      </c>
    </row>
    <row r="14" spans="1:15" x14ac:dyDescent="0.3">
      <c r="A14" s="34"/>
      <c r="B14" s="34" t="s">
        <v>18</v>
      </c>
      <c r="C14" s="15">
        <v>45744</v>
      </c>
      <c r="D14" s="80">
        <v>100</v>
      </c>
      <c r="E14">
        <v>131</v>
      </c>
      <c r="F14" s="80">
        <v>0.76335877862595425</v>
      </c>
      <c r="G14" s="49">
        <v>7.9254999999999995</v>
      </c>
    </row>
    <row r="15" spans="1:15" x14ac:dyDescent="0.3">
      <c r="A15" s="34"/>
      <c r="B15" s="34"/>
      <c r="C15" s="15">
        <v>45753</v>
      </c>
      <c r="D15" s="80">
        <v>230.08</v>
      </c>
      <c r="E15">
        <v>524</v>
      </c>
      <c r="F15" s="80">
        <v>0.43908396946564887</v>
      </c>
      <c r="G15" s="49">
        <v>13.596488178025034</v>
      </c>
    </row>
    <row r="16" spans="1:15" ht="15" thickBot="1" x14ac:dyDescent="0.35">
      <c r="A16" s="34"/>
      <c r="B16" s="36" t="s">
        <v>102</v>
      </c>
      <c r="C16" s="37"/>
      <c r="D16" s="38">
        <v>330.08000000000004</v>
      </c>
      <c r="E16" s="37">
        <v>655</v>
      </c>
      <c r="F16" s="38">
        <v>0.50393893129770995</v>
      </c>
      <c r="G16" s="50">
        <v>11.894322679317682</v>
      </c>
    </row>
    <row r="17" spans="1:11" x14ac:dyDescent="0.3">
      <c r="A17" s="34"/>
    </row>
    <row r="18" spans="1:11" x14ac:dyDescent="0.3">
      <c r="A18" s="34"/>
    </row>
    <row r="19" spans="1:11" x14ac:dyDescent="0.3">
      <c r="A19" s="34"/>
    </row>
    <row r="20" spans="1:11" x14ac:dyDescent="0.3">
      <c r="A20" s="34"/>
    </row>
    <row r="21" spans="1:11" x14ac:dyDescent="0.3">
      <c r="A21" s="34"/>
    </row>
    <row r="22" spans="1:11" x14ac:dyDescent="0.3">
      <c r="A22" s="34"/>
    </row>
    <row r="23" spans="1:11" x14ac:dyDescent="0.3">
      <c r="A23" s="34"/>
      <c r="J23" s="53"/>
      <c r="K23" s="53"/>
    </row>
    <row r="24" spans="1:11" x14ac:dyDescent="0.3">
      <c r="A24" s="34"/>
      <c r="J24" s="53"/>
      <c r="K24" s="53"/>
    </row>
    <row r="25" spans="1:11" x14ac:dyDescent="0.3">
      <c r="A25" s="34"/>
    </row>
    <row r="26" spans="1:11" x14ac:dyDescent="0.3">
      <c r="A26" s="34"/>
    </row>
    <row r="27" spans="1:11" ht="15" thickBot="1" x14ac:dyDescent="0.35"/>
  </sheetData>
  <mergeCells count="5">
    <mergeCell ref="D2:K3"/>
    <mergeCell ref="B4:C4"/>
    <mergeCell ref="D4:E4"/>
    <mergeCell ref="F4:G4"/>
    <mergeCell ref="H4:I4"/>
  </mergeCells>
  <hyperlinks>
    <hyperlink ref="A4" location="'1. SOBRE'!A4" display="1. SOBRE" xr:uid="{00000000-0004-0000-0700-000000000000}"/>
    <hyperlink ref="F4" location="'4. ABASTECIMENTOS'!D4" display="4. ABASTECIMENTOS" xr:uid="{00000000-0004-0000-0700-000001000000}"/>
    <hyperlink ref="J4" location="'6. TROCAS DE ÓLEO'!F4" display="6. TROCAS DE ÓLEO" xr:uid="{00000000-0004-0000-0700-000002000000}"/>
    <hyperlink ref="H6" location="'7. ANÁLISE GERAL'!G4" display="&lt;--VOLTAR PARA 7. ANÁLISE GERAL" xr:uid="{00000000-0004-0000-07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/>
  <dimension ref="A2:M18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31.88671875" customWidth="1"/>
    <col min="3" max="3" width="15.6640625" customWidth="1"/>
    <col min="4" max="4" width="18.5546875" customWidth="1"/>
    <col min="5" max="6" width="16.6640625" customWidth="1"/>
    <col min="7" max="7" width="12.44140625" customWidth="1"/>
    <col min="8" max="8" width="11.88671875" customWidth="1"/>
    <col min="9" max="9" width="12.33203125" customWidth="1"/>
    <col min="10" max="10" width="18" bestFit="1" customWidth="1"/>
    <col min="11" max="11" width="27.109375" bestFit="1" customWidth="1"/>
  </cols>
  <sheetData>
    <row r="2" spans="1:13" x14ac:dyDescent="0.3">
      <c r="A2" s="7"/>
      <c r="D2" s="90" t="s">
        <v>1</v>
      </c>
      <c r="E2" s="91"/>
      <c r="F2" s="91"/>
      <c r="G2" s="91"/>
      <c r="H2" s="91"/>
      <c r="I2" s="91"/>
      <c r="J2" s="91"/>
    </row>
    <row r="3" spans="1:13" ht="32.25" customHeight="1" x14ac:dyDescent="0.3">
      <c r="D3" s="91"/>
      <c r="E3" s="91"/>
      <c r="F3" s="91"/>
      <c r="G3" s="91"/>
      <c r="H3" s="91"/>
      <c r="I3" s="91"/>
      <c r="J3" s="91"/>
    </row>
    <row r="4" spans="1:13" ht="23.25" customHeight="1" x14ac:dyDescent="0.3">
      <c r="A4" s="8" t="s">
        <v>2</v>
      </c>
      <c r="B4" s="94" t="s">
        <v>3</v>
      </c>
      <c r="C4" s="95"/>
      <c r="D4" s="94" t="s">
        <v>4</v>
      </c>
      <c r="E4" s="95"/>
      <c r="F4" s="94" t="s">
        <v>5</v>
      </c>
      <c r="G4" s="95"/>
      <c r="H4" s="96" t="s">
        <v>6</v>
      </c>
      <c r="I4" s="97"/>
      <c r="J4" s="8" t="s">
        <v>7</v>
      </c>
      <c r="K4" s="4" t="s">
        <v>103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31"/>
      <c r="B7" s="31"/>
      <c r="C7" s="31"/>
      <c r="D7" s="31"/>
      <c r="E7" s="31"/>
      <c r="F7" s="31"/>
      <c r="G7" s="31"/>
      <c r="H7" s="31"/>
      <c r="I7" s="31"/>
      <c r="J7" s="41" t="s">
        <v>42</v>
      </c>
      <c r="K7" s="70">
        <v>45748</v>
      </c>
    </row>
    <row r="8" spans="1:13" ht="15" thickBot="1" x14ac:dyDescent="0.35">
      <c r="A8" s="44" t="s">
        <v>42</v>
      </c>
      <c r="B8" s="75">
        <v>45748</v>
      </c>
    </row>
    <row r="9" spans="1:13" ht="15" thickBot="1" x14ac:dyDescent="0.35">
      <c r="A9" s="26" t="s">
        <v>105</v>
      </c>
      <c r="B9" s="26"/>
      <c r="C9" s="26"/>
      <c r="D9" s="26"/>
      <c r="E9" s="26"/>
      <c r="F9" s="26"/>
      <c r="G9" s="26"/>
      <c r="H9" s="26"/>
      <c r="J9" s="41" t="s">
        <v>95</v>
      </c>
      <c r="K9" t="s">
        <v>106</v>
      </c>
    </row>
    <row r="10" spans="1:13" x14ac:dyDescent="0.3">
      <c r="A10" s="43" t="s">
        <v>97</v>
      </c>
      <c r="B10" s="31"/>
      <c r="C10" s="31"/>
      <c r="D10" s="42" t="s">
        <v>50</v>
      </c>
      <c r="E10" s="31"/>
      <c r="F10" s="31"/>
      <c r="G10" s="31"/>
      <c r="H10" s="33"/>
      <c r="J10" s="11" t="s">
        <v>28</v>
      </c>
      <c r="K10">
        <v>4197</v>
      </c>
    </row>
    <row r="11" spans="1:13" x14ac:dyDescent="0.3">
      <c r="A11" s="40" t="s">
        <v>13</v>
      </c>
      <c r="B11" s="41" t="s">
        <v>15</v>
      </c>
      <c r="C11" s="41" t="s">
        <v>14</v>
      </c>
      <c r="D11" s="20" t="s">
        <v>28</v>
      </c>
      <c r="E11" s="20" t="s">
        <v>30</v>
      </c>
      <c r="F11" s="20" t="s">
        <v>125</v>
      </c>
      <c r="G11" s="20" t="s">
        <v>130</v>
      </c>
      <c r="H11" s="45" t="s">
        <v>107</v>
      </c>
      <c r="J11" s="11" t="s">
        <v>30</v>
      </c>
      <c r="K11">
        <v>60</v>
      </c>
    </row>
    <row r="12" spans="1:13" x14ac:dyDescent="0.3">
      <c r="A12" s="46" t="s">
        <v>18</v>
      </c>
      <c r="B12" t="s">
        <v>20</v>
      </c>
      <c r="C12" t="s">
        <v>19</v>
      </c>
      <c r="D12" s="89">
        <v>4197</v>
      </c>
      <c r="E12" s="89">
        <v>60</v>
      </c>
      <c r="F12" s="89">
        <v>100</v>
      </c>
      <c r="G12" s="89">
        <v>95</v>
      </c>
      <c r="H12" s="77">
        <v>4452</v>
      </c>
      <c r="J12" s="11" t="s">
        <v>125</v>
      </c>
      <c r="K12">
        <v>100</v>
      </c>
    </row>
    <row r="13" spans="1:13" ht="15" thickBot="1" x14ac:dyDescent="0.35">
      <c r="A13" s="36" t="s">
        <v>107</v>
      </c>
      <c r="B13" s="37"/>
      <c r="C13" s="37"/>
      <c r="D13" s="38">
        <v>4197</v>
      </c>
      <c r="E13" s="38">
        <v>60</v>
      </c>
      <c r="F13" s="38">
        <v>100</v>
      </c>
      <c r="G13" s="38">
        <v>95</v>
      </c>
      <c r="H13" s="39">
        <v>4452</v>
      </c>
      <c r="J13" s="11" t="s">
        <v>130</v>
      </c>
      <c r="K13">
        <v>95</v>
      </c>
    </row>
    <row r="14" spans="1:13" x14ac:dyDescent="0.3">
      <c r="J14" s="11" t="s">
        <v>102</v>
      </c>
      <c r="K14">
        <v>4452</v>
      </c>
    </row>
    <row r="18" ht="15" thickBot="1" x14ac:dyDescent="0.35"/>
  </sheetData>
  <mergeCells count="5">
    <mergeCell ref="B4:C4"/>
    <mergeCell ref="D4:E4"/>
    <mergeCell ref="F4:G4"/>
    <mergeCell ref="H4:I4"/>
    <mergeCell ref="D2:J3"/>
  </mergeCells>
  <hyperlinks>
    <hyperlink ref="A4" location="'1. SOBRE'!A4" display="1. SOBRE" xr:uid="{00000000-0004-0000-0800-000000000000}"/>
    <hyperlink ref="F4" location="'4. ABASTECIMENTOS'!D4" display="4. ABASTECIMENTOS" xr:uid="{00000000-0004-0000-0800-000001000000}"/>
    <hyperlink ref="J4" location="'6. TROCAS DE ÓLEO'!F4" display="6. TROCAS DE ÓLEO" xr:uid="{00000000-0004-0000-0800-000002000000}"/>
    <hyperlink ref="H6" location="'7. ANÁLISE GERAL'!G4" display="&lt;--VOLTAR PARA 7. ANÁLISE GERAL" xr:uid="{00000000-0004-0000-08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2:M19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3" width="12.5546875" customWidth="1"/>
    <col min="4" max="4" width="16.6640625" customWidth="1"/>
    <col min="5" max="5" width="22.109375" customWidth="1"/>
    <col min="6" max="6" width="25" customWidth="1"/>
    <col min="7" max="7" width="16.6640625" customWidth="1"/>
    <col min="8" max="9" width="10.6640625" customWidth="1"/>
    <col min="10" max="10" width="18" bestFit="1" customWidth="1"/>
    <col min="11" max="11" width="21.5546875" bestFit="1" customWidth="1"/>
    <col min="12" max="12" width="17.88671875" bestFit="1" customWidth="1"/>
  </cols>
  <sheetData>
    <row r="2" spans="1:13" ht="14.4" customHeight="1" x14ac:dyDescent="0.3">
      <c r="A2" s="7"/>
      <c r="C2" s="90" t="s">
        <v>1</v>
      </c>
      <c r="D2" s="91"/>
      <c r="E2" s="91"/>
      <c r="F2" s="91"/>
      <c r="G2" s="91"/>
      <c r="H2" s="91"/>
    </row>
    <row r="3" spans="1:13" ht="32.25" customHeight="1" x14ac:dyDescent="0.3">
      <c r="C3" s="91"/>
      <c r="D3" s="91"/>
      <c r="E3" s="91"/>
      <c r="F3" s="91"/>
      <c r="G3" s="91"/>
      <c r="H3" s="91"/>
    </row>
    <row r="4" spans="1:13" ht="23.25" customHeight="1" x14ac:dyDescent="0.3">
      <c r="A4" s="8" t="s">
        <v>2</v>
      </c>
      <c r="B4" s="94" t="s">
        <v>3</v>
      </c>
      <c r="C4" s="95"/>
      <c r="D4" s="94" t="s">
        <v>4</v>
      </c>
      <c r="E4" s="95"/>
      <c r="F4" s="94" t="s">
        <v>5</v>
      </c>
      <c r="G4" s="95"/>
      <c r="H4" s="96" t="s">
        <v>6</v>
      </c>
      <c r="I4" s="97"/>
      <c r="J4" s="8" t="s">
        <v>7</v>
      </c>
      <c r="K4" s="4" t="s">
        <v>108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60"/>
      <c r="B7" s="60"/>
      <c r="C7" s="61"/>
      <c r="D7" s="61"/>
      <c r="E7" s="60"/>
      <c r="F7" s="62"/>
      <c r="G7" s="63"/>
      <c r="H7" s="64"/>
      <c r="I7" s="63"/>
      <c r="K7" s="29"/>
      <c r="L7" s="29"/>
    </row>
    <row r="8" spans="1:13" x14ac:dyDescent="0.3">
      <c r="A8" s="31"/>
      <c r="B8" s="31"/>
      <c r="C8" s="31"/>
      <c r="D8" s="31"/>
      <c r="E8" s="31"/>
      <c r="F8" s="31"/>
      <c r="G8" s="58" t="s">
        <v>109</v>
      </c>
      <c r="H8" s="58"/>
      <c r="I8" s="58"/>
      <c r="J8" s="58"/>
      <c r="K8" s="58"/>
      <c r="L8" s="59"/>
    </row>
    <row r="9" spans="1:13" x14ac:dyDescent="0.3">
      <c r="G9" s="57" t="s">
        <v>13</v>
      </c>
      <c r="H9" s="57" t="s">
        <v>14</v>
      </c>
      <c r="I9" s="57" t="s">
        <v>15</v>
      </c>
      <c r="J9" s="57" t="s">
        <v>110</v>
      </c>
      <c r="K9" s="57" t="s">
        <v>111</v>
      </c>
      <c r="L9" s="57" t="s">
        <v>112</v>
      </c>
    </row>
    <row r="10" spans="1:13" x14ac:dyDescent="0.3">
      <c r="G10" s="82" t="s">
        <v>18</v>
      </c>
      <c r="H10" s="82" t="s">
        <v>19</v>
      </c>
      <c r="I10" s="84" t="s">
        <v>133</v>
      </c>
      <c r="J10" s="55">
        <v>86939</v>
      </c>
      <c r="K10" s="55">
        <f t="array" ref="K10">IFERROR(LARGE(IF(G10=Tabela9[Placa],Tabela9[Próxima troca (Km)]),1),0)</f>
        <v>91939</v>
      </c>
      <c r="L10" s="56" t="str">
        <f>IF(K10&lt;=(J10*1.1),"Troca está próxima","")</f>
        <v>Troca está próxima</v>
      </c>
    </row>
    <row r="11" spans="1:13" x14ac:dyDescent="0.3">
      <c r="I11" s="54"/>
      <c r="J11" s="55"/>
      <c r="K11" s="55"/>
      <c r="L11" s="56"/>
    </row>
    <row r="12" spans="1:13" ht="15" thickBot="1" x14ac:dyDescent="0.35">
      <c r="B12" s="26" t="s">
        <v>113</v>
      </c>
      <c r="C12" s="26"/>
      <c r="D12" s="26"/>
      <c r="E12" s="26"/>
      <c r="F12" s="26"/>
      <c r="I12" s="54"/>
      <c r="J12" s="55"/>
      <c r="K12" s="55"/>
      <c r="L12" s="56"/>
    </row>
    <row r="13" spans="1:13" x14ac:dyDescent="0.3">
      <c r="B13" s="32"/>
      <c r="C13" s="31"/>
      <c r="D13" s="42" t="s">
        <v>97</v>
      </c>
      <c r="E13" s="33"/>
      <c r="I13" s="54"/>
      <c r="J13" s="55"/>
      <c r="K13" s="55"/>
      <c r="L13" s="56"/>
    </row>
    <row r="14" spans="1:13" x14ac:dyDescent="0.3">
      <c r="B14" s="40" t="s">
        <v>13</v>
      </c>
      <c r="C14" s="41" t="s">
        <v>42</v>
      </c>
      <c r="D14" t="s">
        <v>114</v>
      </c>
      <c r="E14" s="35" t="s">
        <v>115</v>
      </c>
      <c r="I14" s="54"/>
      <c r="J14" s="55"/>
      <c r="K14" s="55"/>
      <c r="L14" s="56"/>
    </row>
    <row r="15" spans="1:13" x14ac:dyDescent="0.3">
      <c r="B15" s="34" t="s">
        <v>18</v>
      </c>
      <c r="C15" s="15">
        <v>45748</v>
      </c>
      <c r="D15" s="87">
        <v>256</v>
      </c>
      <c r="E15" s="65">
        <v>1</v>
      </c>
      <c r="I15" s="54"/>
      <c r="J15" s="55"/>
      <c r="K15" s="55"/>
      <c r="L15" s="56"/>
    </row>
    <row r="16" spans="1:13" ht="15" thickBot="1" x14ac:dyDescent="0.35">
      <c r="B16" s="36" t="s">
        <v>102</v>
      </c>
      <c r="C16" s="37"/>
      <c r="D16" s="66">
        <v>256</v>
      </c>
      <c r="E16" s="67">
        <v>1</v>
      </c>
      <c r="I16" s="54"/>
      <c r="J16" s="55"/>
      <c r="K16" s="55"/>
      <c r="L16" s="56"/>
    </row>
    <row r="17" spans="9:12" x14ac:dyDescent="0.3">
      <c r="I17" s="54"/>
      <c r="J17" s="55"/>
      <c r="K17" s="55"/>
      <c r="L17" s="56"/>
    </row>
    <row r="18" spans="9:12" x14ac:dyDescent="0.3">
      <c r="I18" s="54"/>
      <c r="J18" s="55"/>
      <c r="K18" s="55"/>
      <c r="L18" s="56"/>
    </row>
    <row r="19" spans="9:12" ht="15" thickBot="1" x14ac:dyDescent="0.35">
      <c r="I19" s="54"/>
      <c r="J19" s="55"/>
      <c r="K19" s="55"/>
      <c r="L19" s="56"/>
    </row>
  </sheetData>
  <mergeCells count="5">
    <mergeCell ref="B4:C4"/>
    <mergeCell ref="D4:E4"/>
    <mergeCell ref="F4:G4"/>
    <mergeCell ref="H4:I4"/>
    <mergeCell ref="C2:H3"/>
  </mergeCells>
  <conditionalFormatting sqref="L10:L19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{B7A819ED-B49A-433B-B4E0-DE85FEA49524}</x14:id>
        </ext>
      </extLst>
    </cfRule>
  </conditionalFormatting>
  <dataValidations count="1">
    <dataValidation type="list" allowBlank="1" showInputMessage="1" showErrorMessage="1" sqref="G10" xr:uid="{E49FCBB2-3102-4AF2-98DB-8E8B483878B0}">
      <formula1>Placa</formula1>
    </dataValidation>
  </dataValidations>
  <hyperlinks>
    <hyperlink ref="A4" location="'1. SOBRE'!A4" display="1. SOBRE" xr:uid="{00000000-0004-0000-0900-000000000000}"/>
    <hyperlink ref="F4" location="'4. ABASTECIMENTOS'!D4" display="4. ABASTECIMENTOS" xr:uid="{00000000-0004-0000-0900-000001000000}"/>
    <hyperlink ref="J4" location="'6. TROCAS DE ÓLEO'!F4" display="6. TROCAS DE ÓLEO" xr:uid="{00000000-0004-0000-0900-000002000000}"/>
    <hyperlink ref="H6" location="'7. ANÁLISE GERAL'!G4" display="&lt;--VOLTAR PARA 7. ANÁLISE GERAL" xr:uid="{00000000-0004-0000-0900-000003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A819ED-B49A-433B-B4E0-DE85FEA4952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L10:L19</xm:sqref>
        </x14:conditionalFormatting>
      </x14:conditionalFormattings>
    </ex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5F011-E240-448F-9E7C-49505D732CEF}">
  <sheetPr codeName="Plan11"/>
  <dimension ref="A2:M11"/>
  <sheetViews>
    <sheetView showGridLines="0" topLeftCell="D1" workbookViewId="0">
      <pane ySplit="4" topLeftCell="A5" activePane="bottomLeft" state="frozen"/>
      <selection pane="bottomLeft" activeCell="K8" sqref="K8"/>
    </sheetView>
  </sheetViews>
  <sheetFormatPr defaultRowHeight="14.4" x14ac:dyDescent="0.3"/>
  <cols>
    <col min="1" max="1" width="11" customWidth="1"/>
    <col min="2" max="2" width="24" customWidth="1"/>
    <col min="3" max="3" width="29.6640625" customWidth="1"/>
    <col min="4" max="4" width="20" customWidth="1"/>
    <col min="5" max="5" width="20.33203125" customWidth="1"/>
    <col min="6" max="6" width="33.21875" customWidth="1"/>
    <col min="7" max="7" width="17.44140625" customWidth="1"/>
    <col min="8" max="8" width="21" customWidth="1"/>
    <col min="9" max="9" width="15.44140625" customWidth="1"/>
    <col min="10" max="10" width="18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4" t="s">
        <v>116</v>
      </c>
      <c r="I4" s="2"/>
      <c r="J4" s="2"/>
      <c r="K4" s="2"/>
      <c r="L4" s="2"/>
      <c r="M4" s="2"/>
    </row>
    <row r="6" spans="1:13" s="29" customFormat="1" ht="15.6" customHeight="1" x14ac:dyDescent="0.3">
      <c r="A6" s="98" t="s">
        <v>121</v>
      </c>
      <c r="B6" s="98"/>
      <c r="C6" s="98"/>
      <c r="D6" s="98"/>
      <c r="E6" s="98"/>
      <c r="F6" s="98"/>
      <c r="G6" s="98"/>
      <c r="H6" s="98"/>
      <c r="I6" s="98"/>
      <c r="J6" s="98"/>
      <c r="K6" s="98"/>
      <c r="L6" s="98"/>
      <c r="M6" s="98"/>
    </row>
    <row r="7" spans="1:13" s="20" customFormat="1" x14ac:dyDescent="0.3">
      <c r="A7" s="72" t="s">
        <v>42</v>
      </c>
      <c r="B7" s="72" t="s">
        <v>13</v>
      </c>
      <c r="C7" s="73" t="s">
        <v>15</v>
      </c>
      <c r="D7" s="73" t="s">
        <v>14</v>
      </c>
      <c r="E7" s="72" t="s">
        <v>49</v>
      </c>
      <c r="F7" s="72" t="s">
        <v>30</v>
      </c>
      <c r="G7" s="78" t="s">
        <v>117</v>
      </c>
      <c r="H7" s="78" t="s">
        <v>132</v>
      </c>
      <c r="I7" s="72" t="s">
        <v>118</v>
      </c>
      <c r="J7" s="72" t="s">
        <v>119</v>
      </c>
      <c r="K7" s="72" t="s">
        <v>85</v>
      </c>
      <c r="L7" s="72" t="s">
        <v>86</v>
      </c>
      <c r="M7" s="72" t="s">
        <v>87</v>
      </c>
    </row>
    <row r="8" spans="1:13" x14ac:dyDescent="0.3">
      <c r="A8" s="23">
        <v>45748</v>
      </c>
      <c r="B8" s="82" t="s">
        <v>18</v>
      </c>
      <c r="C8" s="21" t="str">
        <f>IFERROR(VLOOKUP(B8,'2. CADASTRO DE VEÍCULOS'!B:D,3,0),"")</f>
        <v>CITY SEDAN EX 1.5 FLEX 16V 4P AUTOMATICO</v>
      </c>
      <c r="D8" s="81" t="str">
        <f>IFERROR(VLOOKUP(B8,'2. CADASTRO DE VEÍCULOS'!B:C,2,0),"")</f>
        <v>HONDA</v>
      </c>
      <c r="E8" s="82" t="s">
        <v>123</v>
      </c>
      <c r="F8" t="s">
        <v>120</v>
      </c>
      <c r="G8" s="24">
        <v>50000</v>
      </c>
      <c r="H8" t="s">
        <v>122</v>
      </c>
      <c r="I8" s="82" t="s">
        <v>89</v>
      </c>
      <c r="J8" s="82" t="s">
        <v>88</v>
      </c>
      <c r="K8" s="80">
        <v>60</v>
      </c>
      <c r="L8" s="24">
        <v>86939</v>
      </c>
      <c r="M8" s="28">
        <f>L8+G8</f>
        <v>136939</v>
      </c>
    </row>
    <row r="9" spans="1:13" x14ac:dyDescent="0.3">
      <c r="A9" s="15"/>
      <c r="C9" s="21"/>
      <c r="D9" s="16"/>
      <c r="G9" s="24"/>
      <c r="M9" s="28"/>
    </row>
    <row r="10" spans="1:13" x14ac:dyDescent="0.3">
      <c r="A10" s="15"/>
      <c r="C10" s="21"/>
      <c r="D10" s="16"/>
      <c r="G10" s="24"/>
      <c r="M10" s="28"/>
    </row>
    <row r="11" spans="1:13" x14ac:dyDescent="0.3">
      <c r="A11" s="15"/>
      <c r="C11" s="21"/>
      <c r="D11" s="16"/>
      <c r="G11" s="24"/>
      <c r="M11" s="28"/>
    </row>
  </sheetData>
  <mergeCells count="1">
    <mergeCell ref="A6:M6"/>
  </mergeCells>
  <dataValidations count="4">
    <dataValidation type="list" allowBlank="1" showInputMessage="1" showErrorMessage="1" sqref="F8:F11" xr:uid="{3381B802-4BC3-4FD0-8870-1FF5D42E424C}">
      <formula1>Oleo</formula1>
    </dataValidation>
    <dataValidation type="list" allowBlank="1" showInputMessage="1" showErrorMessage="1" sqref="E8:E11" xr:uid="{4D1583BD-8882-4282-A7FF-C1BF93E502DF}">
      <formula1>Oficinas</formula1>
    </dataValidation>
    <dataValidation type="list" allowBlank="1" showInputMessage="1" showErrorMessage="1" sqref="I8:J11" xr:uid="{6CE34383-84E2-439F-ADD6-5DD20696139F}">
      <formula1>"Sim,Não"</formula1>
    </dataValidation>
    <dataValidation type="list" allowBlank="1" showInputMessage="1" showErrorMessage="1" sqref="B8:B11" xr:uid="{EC7B5828-0160-4B39-BE27-9B91AC49FB61}">
      <formula1>Placa</formula1>
    </dataValidation>
  </dataValidations>
  <hyperlinks>
    <hyperlink ref="A4" location="'1. SOBRE'!A4" display="1. SOBRE" xr:uid="{B84260E2-6631-4377-ADFB-0C6B10A7A9F6}"/>
    <hyperlink ref="B4" location="'2. CADASTRO DE VEÍCULOS'!B4" display="2. CADASTRO DE VEÍCULOS" xr:uid="{CCB7E0B3-8FDE-4DC4-92B8-C84369463747}"/>
    <hyperlink ref="C4" location="'3. CADASTROS GERAIS'!C4" display="3. CADASTROS GERAIS" xr:uid="{C964EED3-5D85-4D37-97DD-E07A43B83E81}"/>
    <hyperlink ref="D4" location="'4. ABASTECIMENTOS'!D4" display="4. ABASTECIMENTOS" xr:uid="{6A242B34-EC7E-410A-A132-737DCA3A1C12}"/>
    <hyperlink ref="E4" location="'5. MANUTENÇÕES'!E4" display="5. MANUTENÇÕES" xr:uid="{3968BD20-49B5-400A-9E78-517C40BC52A0}"/>
    <hyperlink ref="G4" location="'7. ANÁLISE GERAL'!G4" display="7. ANÁLISE GERAL" xr:uid="{713FB8B3-FE20-40B6-870E-A19C77F6426D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54</vt:i4>
      </vt:variant>
    </vt:vector>
  </HeadingPairs>
  <TitlesOfParts>
    <vt:vector size="65" baseType="lpstr">
      <vt:lpstr>1. SOBRE</vt:lpstr>
      <vt:lpstr>2. CADASTRO DE VEÍCULOS</vt:lpstr>
      <vt:lpstr>3. CADASTROS GERAIS</vt:lpstr>
      <vt:lpstr>4. ABASTECIMENTOS</vt:lpstr>
      <vt:lpstr>5. MANUTENÇÕES</vt:lpstr>
      <vt:lpstr>6. TROCAS DE ÓLEO</vt:lpstr>
      <vt:lpstr>7. ANÁLISE GERAL</vt:lpstr>
      <vt:lpstr>7.1 Abastecimento</vt:lpstr>
      <vt:lpstr>7.2 Manutenção</vt:lpstr>
      <vt:lpstr>7.3 Troca de óleo</vt:lpstr>
      <vt:lpstr>8. TROCAS DE PNEUS</vt:lpstr>
      <vt:lpstr>'7.3 Troca de óleo'!A</vt:lpstr>
      <vt:lpstr>'8. TROCAS DE PNEUS'!A</vt:lpstr>
      <vt:lpstr>A</vt:lpstr>
      <vt:lpstr>'7.3 Troca de óleo'!B</vt:lpstr>
      <vt:lpstr>'8. TROCAS DE PNEUS'!B</vt:lpstr>
      <vt:lpstr>B</vt:lpstr>
      <vt:lpstr>'7.3 Troca de óleo'!D</vt:lpstr>
      <vt:lpstr>'8. TROCAS DE PNEUS'!D</vt:lpstr>
      <vt:lpstr>D</vt:lpstr>
      <vt:lpstr>'7.3 Troca de óleo'!E</vt:lpstr>
      <vt:lpstr>'8. TROCAS DE PNEUS'!E</vt:lpstr>
      <vt:lpstr>E</vt:lpstr>
      <vt:lpstr>'7.3 Troca de óleo'!G</vt:lpstr>
      <vt:lpstr>'8. TROCAS DE PNEUS'!G</vt:lpstr>
      <vt:lpstr>G</vt:lpstr>
      <vt:lpstr>'7.1 Abastecimento'!Oficinas</vt:lpstr>
      <vt:lpstr>'7.2 Manutenção'!Oficinas</vt:lpstr>
      <vt:lpstr>'7.3 Troca de óleo'!Oficinas</vt:lpstr>
      <vt:lpstr>'8. TROCAS DE PNEUS'!Oficinas</vt:lpstr>
      <vt:lpstr>Oficinas</vt:lpstr>
      <vt:lpstr>'7.1 Abastecimento'!Oleo</vt:lpstr>
      <vt:lpstr>'7.2 Manutenção'!Oleo</vt:lpstr>
      <vt:lpstr>'7.3 Troca de óleo'!Oleo</vt:lpstr>
      <vt:lpstr>'8. TROCAS DE PNEUS'!Oleo</vt:lpstr>
      <vt:lpstr>Oleo</vt:lpstr>
      <vt:lpstr>'7.1 Abastecimento'!Óleos</vt:lpstr>
      <vt:lpstr>'7.2 Manutenção'!Óleos</vt:lpstr>
      <vt:lpstr>'7.3 Troca de óleo'!Óleos</vt:lpstr>
      <vt:lpstr>'8. TROCAS DE PNEUS'!Óleos</vt:lpstr>
      <vt:lpstr>Óleos</vt:lpstr>
      <vt:lpstr>'7.1 Abastecimento'!Placa</vt:lpstr>
      <vt:lpstr>'7.2 Manutenção'!Placa</vt:lpstr>
      <vt:lpstr>'7.3 Troca de óleo'!Placa</vt:lpstr>
      <vt:lpstr>'8. TROCAS DE PNEUS'!Placa</vt:lpstr>
      <vt:lpstr>Placa</vt:lpstr>
      <vt:lpstr>'7.1 Abastecimento'!Posto</vt:lpstr>
      <vt:lpstr>'7.2 Manutenção'!Posto</vt:lpstr>
      <vt:lpstr>'7.3 Troca de óleo'!Posto</vt:lpstr>
      <vt:lpstr>'8. TROCAS DE PNEUS'!Posto</vt:lpstr>
      <vt:lpstr>Posto</vt:lpstr>
      <vt:lpstr>'7.1 Abastecimento'!Servico</vt:lpstr>
      <vt:lpstr>'7.3 Troca de óleo'!Servico</vt:lpstr>
      <vt:lpstr>'8. TROCAS DE PNEUS'!Servico</vt:lpstr>
      <vt:lpstr>Servico</vt:lpstr>
      <vt:lpstr>'7.1 Abastecimento'!Serviços</vt:lpstr>
      <vt:lpstr>'7.2 Manutenção'!Serviços</vt:lpstr>
      <vt:lpstr>'7.3 Troca de óleo'!Serviços</vt:lpstr>
      <vt:lpstr>'8. TROCAS DE PNEUS'!Serviços</vt:lpstr>
      <vt:lpstr>Serviços</vt:lpstr>
      <vt:lpstr>'7.1 Abastecimento'!TipoOleo</vt:lpstr>
      <vt:lpstr>'7.2 Manutenção'!TipoOleo</vt:lpstr>
      <vt:lpstr>'7.3 Troca de óleo'!TipoOleo</vt:lpstr>
      <vt:lpstr>'8. TROCAS DE PNEUS'!TipoOleo</vt:lpstr>
      <vt:lpstr>TipoOleo</vt:lpstr>
    </vt:vector>
  </TitlesOfParts>
  <Manager/>
  <Company>Guia do Excel / Guide Excel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Rieper</dc:creator>
  <cp:keywords/>
  <dc:description/>
  <cp:lastModifiedBy>Marcos keller</cp:lastModifiedBy>
  <cp:revision/>
  <dcterms:created xsi:type="dcterms:W3CDTF">2014-09-27T16:12:32Z</dcterms:created>
  <dcterms:modified xsi:type="dcterms:W3CDTF">2025-04-07T04:07:40Z</dcterms:modified>
  <cp:category/>
  <cp:contentStatus/>
</cp:coreProperties>
</file>
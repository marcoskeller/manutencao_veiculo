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0CA6C0B7-32E3-4058-893D-5B8F422F5B2D}" xr6:coauthVersionLast="47" xr6:coauthVersionMax="47" xr10:uidLastSave="{00000000-0000-0000-0000-000000000000}"/>
  <bookViews>
    <workbookView xWindow="-108" yWindow="-108" windowWidth="23256" windowHeight="12576" tabRatio="840" firstSheet="2" activeTab="3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9" r:id="rId12"/>
    <pivotCache cacheId="16" r:id="rId13"/>
    <pivotCache cacheId="24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5" l="1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7"/>
  <c r="C8" i="7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<sst xmlns="http://schemas.openxmlformats.org/spreadsheetml/2006/main" count="417" uniqueCount="144">
  <si>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</si>
  <si>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</si>
  <si>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</si>
  <si>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</si>
  <si>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</si>
  <si>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</si>
  <si>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</si>
  <si>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</si>
  <si>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</si>
  <si>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</si>
  <si>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</si>
  <si>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</si>
  <si>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</si>
  <si>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</si>
  <si>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</si>
  <si>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</si>
  <si>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</si>
  <si>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</si>
  <si>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</si>
  <si>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</si>
  <si>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</si>
  <si>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</si>
  <si>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</si>
  <si>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</si>
  <si>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</si>
  <si>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</si>
  <si>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</si>
  <si>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</si>
  <si>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</si>
  <si>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</si>
  <si>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</si>
  <si>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</si>
  <si>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</si>
  <si>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</si>
  <si>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</si>
  <si>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</si>
  <si>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</si>
  <si>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</si>
  <si>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</si>
  <si>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</si>
  <si>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</si>
  <si>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</si>
  <si>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</si>
  <si>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</si>
  <si>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</si>
  <si>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</si>
  <si>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</si>
  <si>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</si>
  <si>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</si>
  <si>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</si>
  <si>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</si>
  <si>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</si>
  <si>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</si>
  <si>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</si>
  <si>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</si>
  <si>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</si>
  <si>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</si>
  <si>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</si>
  <si>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</si>
  <si>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</si>
  <si>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</si>
  <si>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</si>
  <si>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</si>
  <si>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</si>
  <si>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</si>
  <si>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</si>
  <si>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</si>
  <si>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</si>
  <si>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</si>
  <si>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</si>
  <si>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</si>
  <si>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</si>
  <si>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</si>
  <si>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</si>
  <si>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</si>
  <si>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</si>
  <si>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</si>
  <si>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</si>
  <si>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</si>
  <si>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</si>
  <si>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</si>
  <si>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</si>
  <si>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</si>
  <si>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</si>
  <si>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</si>
  <si>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</si>
  <si>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</si>
  <si>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</si>
  <si>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</si>
  <si>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</si>
  <si>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</si>
  <si>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</si>
  <si>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</si>
  <si>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</si>
  <si>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</si>
  <si>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</si>
  <si>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</si>
  <si>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</si>
  <si>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</si>
  <si>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</si>
  <si>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</si>
  <si>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</si>
  <si>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</si>
  <si>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</si>
  <si>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</si>
  <si>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</si>
  <si>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</si>
  <si>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</si>
  <si>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</si>
  <si>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</si>
  <si>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</si>
  <si>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</si>
  <si>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</si>
  <si>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</si>
  <si>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</si>
  <si>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</si>
  <si>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</si>
  <si>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</si>
  <si>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</si>
  <si>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</si>
  <si>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</si>
  <si>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</si>
  <si>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</si>
  <si>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</si>
  <si>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</si>
  <si>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</si>
  <si>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</si>
  <si>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</si>
  <si>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</si>
  <si>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</si>
  <si>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</si>
  <si>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</si>
  <si>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</si>
  <si>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</si>
  <si>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</si>
  <si>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</si>
  <si>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</si>
  <si>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</si>
  <si>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</si>
  <si>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</si>
  <si>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Posto Amigo 7</t>
  </si>
  <si>
    <t>Gasolina Aditivada Shell Power</t>
  </si>
  <si>
    <t>Gasolina Aditivada Petrobras Grid</t>
  </si>
  <si>
    <t>(Vários itens)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</si>
</sst>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8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6" xfId="0" applyNumberFormat="1" applyBorder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4" fontId="0" fillId="0" borderId="0" xfId="0" applyNumberFormat="1" applyBorder="1"/>
    <xf numFmtId="0" fontId="0" fillId="0" borderId="0" xfId="0" applyNumberFormat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65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165" fontId="4" fillId="0" borderId="0" xfId="0" applyNumberFormat="1" applyFont="1" applyBorder="1"/>
    <xf numFmtId="0" fontId="4" fillId="0" borderId="0" xfId="0" applyFon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7.8027820356981508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60.539513657408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60.539514467593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4-13T00:00:00" count="5">
        <d v="2025-03-28T00:00:00"/>
        <d v="2025-04-06T00:00:00"/>
        <d v="2025-04-09T00:00:00"/>
        <d v="2025-04-12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62.51"/>
    </cacheField>
    <cacheField name="Preço por litro" numFmtId="44">
      <sharedItems containsString="0" containsBlank="1" containsNumber="1" minValue="5.87" maxValue="6.05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87621"/>
    </cacheField>
    <cacheField name="Km percorridos" numFmtId="164">
      <sharedItems containsString="0" containsBlank="1" containsNumber="1" containsInteger="1" minValue="131" maxValue="347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60.539514814816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  <r>
    <x v="4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6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6">
        <item x="0"/>
        <item h="1" x="4"/>
        <item x="1"/>
        <item x="2"/>
        <item x="3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grandRow="1" outline="0" collapsedLevelsAreSubtotals="1" fieldPosition="0"/>
    </format>
    <format dxfId="25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6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18" firstHeaderRow="1" firstDataRow="2" firstDataCol="2"/>
  <pivotFields count="12">
    <pivotField axis="axisRow" compact="0" numFmtId="14" outline="0" showAll="0">
      <items count="6">
        <item x="0"/>
        <item x="4"/>
        <item x="1"/>
        <item x="2"/>
        <item x="3"/>
        <item t="default"/>
      </items>
    </pivotField>
    <pivotField axis="axisRow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5">
    <i>
      <x/>
      <x/>
    </i>
    <i r="1">
      <x v="2"/>
    </i>
    <i r="1">
      <x v="3"/>
    </i>
    <i r="1"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24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9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3">
        <item h="1" m="1" x="2"/>
        <item x="0"/>
        <item h="1" x="1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3">
        <i x="0" s="1"/>
        <i x="2" nd="1"/>
        <i x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0" totalsRowShown="0" headerRowDxfId="52">
  <autoFilter ref="A23:A30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49">
  <autoFilter ref="A7:J27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IFERROR(VLOOKUP(B8,'2. CADASTRO DE VEÍCULOS'!B:C,2,0),"")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8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F9" sqref="F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2" t="s">
        <v>18</v>
      </c>
      <c r="C9" s="85" t="s">
        <v>19</v>
      </c>
      <c r="D9" s="11" t="s">
        <v>20</v>
      </c>
      <c r="E9" s="82" t="s">
        <v>134</v>
      </c>
      <c r="F9" s="82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0"/>
  <sheetViews>
    <sheetView showGridLines="0" workbookViewId="0">
      <pane ySplit="4" topLeftCell="A14" activePane="bottomLeft" state="frozen"/>
      <selection pane="bottomLeft" activeCell="A27" sqref="A27"/>
    </sheetView>
  </sheetViews>
  <sheetFormatPr defaultRowHeight="14.4" x14ac:dyDescent="0.3"/>
  <cols>
    <col min="1" max="1" width="31.109375" bestFit="1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9">
        <v>5000</v>
      </c>
      <c r="D12" t="s">
        <v>33</v>
      </c>
    </row>
    <row r="13" spans="1:13" x14ac:dyDescent="0.3">
      <c r="A13" t="s">
        <v>128</v>
      </c>
      <c r="B13" s="79">
        <v>5001</v>
      </c>
      <c r="D13" t="s">
        <v>34</v>
      </c>
    </row>
    <row r="14" spans="1:13" x14ac:dyDescent="0.3">
      <c r="A14" t="s">
        <v>126</v>
      </c>
      <c r="B14" s="79">
        <v>5001</v>
      </c>
      <c r="D14" t="s">
        <v>125</v>
      </c>
    </row>
    <row r="15" spans="1:13" x14ac:dyDescent="0.3">
      <c r="B15" s="79"/>
      <c r="D15" t="s">
        <v>130</v>
      </c>
    </row>
    <row r="16" spans="1:13" x14ac:dyDescent="0.3">
      <c r="B16" s="79"/>
    </row>
    <row r="17" spans="1:4" x14ac:dyDescent="0.3">
      <c r="B17" s="79"/>
    </row>
    <row r="18" spans="1:4" x14ac:dyDescent="0.3">
      <c r="B18" s="79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142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141</v>
      </c>
    </row>
    <row r="30" spans="1:4" x14ac:dyDescent="0.3">
      <c r="A30" t="s">
        <v>140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tabSelected="1" workbookViewId="0">
      <pane ySplit="4" topLeftCell="A5" activePane="bottomLeft" state="frozen"/>
      <selection pane="bottomLeft" activeCell="J12" sqref="J12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135</v>
      </c>
      <c r="F7" s="86" t="s">
        <v>43</v>
      </c>
      <c r="G7" s="72" t="s">
        <v>44</v>
      </c>
      <c r="H7" s="72" t="s">
        <v>45</v>
      </c>
      <c r="I7" s="72" t="s">
        <v>46</v>
      </c>
      <c r="J7" s="72" t="s">
        <v>47</v>
      </c>
    </row>
    <row r="8" spans="1:13" x14ac:dyDescent="0.3">
      <c r="A8" s="23">
        <v>45744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s="11" t="s">
        <v>142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2" t="s">
        <v>18</v>
      </c>
      <c r="C10" s="21" t="str">
        <f>IFERROR(VLOOKUP(B10,'2. CADASTRO DE VEÍCULOS'!B:D,3,0),"")</f>
        <v>CITY SEDAN EX 1.5 FLEX 16V 4P AUTOMATICO</v>
      </c>
      <c r="D10" s="81" t="str">
        <f>IFERROR(VLOOKUP(B10,'2. CADASTRO DE VEÍCULOS'!B:C,2,0),"")</f>
        <v>HONDA</v>
      </c>
      <c r="E10" s="82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2" t="s">
        <v>18</v>
      </c>
      <c r="C11" s="21" t="str">
        <f>IFERROR(VLOOKUP(B11,'2. CADASTRO DE VEÍCULOS'!B:D,3,0),"")</f>
        <v>CITY SEDAN EX 1.5 FLEX 16V 4P AUTOMATICO</v>
      </c>
      <c r="D11" s="81" t="str">
        <f>IFERROR(VLOOKUP(B11,'2. CADASTRO DE VEÍCULOS'!B:C,2,0),"")</f>
        <v>HONDA</v>
      </c>
      <c r="E11" s="82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/>
      <c r="C12" s="21"/>
      <c r="D12" s="16"/>
      <c r="F12" s="17"/>
      <c r="G12" s="17"/>
      <c r="H12" s="22"/>
      <c r="I12" s="25"/>
      <c r="J12" s="24"/>
    </row>
    <row r="13" spans="1:13" x14ac:dyDescent="0.3">
      <c r="A13" s="23"/>
      <c r="C13" s="21"/>
      <c r="D13" s="16"/>
      <c r="F13" s="17"/>
      <c r="G13" s="17"/>
      <c r="H13" s="22"/>
      <c r="I13" s="25"/>
      <c r="J13" s="24"/>
    </row>
    <row r="14" spans="1:13" x14ac:dyDescent="0.3">
      <c r="A14" s="23"/>
      <c r="C14" s="21"/>
      <c r="D14" s="16"/>
      <c r="F14" s="17"/>
      <c r="G14" s="17"/>
      <c r="H14" s="22"/>
      <c r="I14" s="25"/>
      <c r="J14" s="24"/>
    </row>
    <row r="15" spans="1:13" x14ac:dyDescent="0.3">
      <c r="A15" s="23"/>
      <c r="C15" s="21"/>
      <c r="D15" s="16"/>
      <c r="F15" s="17"/>
      <c r="G15" s="17"/>
      <c r="H15" s="22"/>
      <c r="I15" s="25"/>
      <c r="J15" s="24"/>
    </row>
    <row r="16" spans="1:13" x14ac:dyDescent="0.3">
      <c r="A16" s="23"/>
      <c r="C16" s="21"/>
      <c r="D16" s="16"/>
      <c r="F16" s="17"/>
      <c r="G16" s="17"/>
      <c r="H16" s="22"/>
      <c r="I16" s="25"/>
      <c r="J16" s="24"/>
    </row>
    <row r="17" spans="1:10" x14ac:dyDescent="0.3">
      <c r="A17" s="23"/>
      <c r="C17" s="21"/>
      <c r="D17" s="16"/>
      <c r="F17" s="17"/>
      <c r="G17" s="17"/>
      <c r="H17" s="22"/>
      <c r="I17" s="25"/>
      <c r="J17" s="24"/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  <row r="27" spans="1:10" x14ac:dyDescent="0.3">
      <c r="A27" s="23"/>
      <c r="C27" s="21"/>
      <c r="D27" s="16"/>
      <c r="F27" s="17"/>
      <c r="G27" s="17"/>
      <c r="H27" s="22"/>
      <c r="I27" s="25"/>
      <c r="J27" s="24"/>
    </row>
  </sheetData>
  <phoneticPr fontId="18" type="noConversion"/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5" activePane="bottomLeft" state="frozen"/>
      <selection pane="bottomLeft" activeCell="H8" sqref="H8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1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50</v>
      </c>
      <c r="G7" s="72" t="s">
        <v>51</v>
      </c>
      <c r="H7" s="72" t="s">
        <v>136</v>
      </c>
      <c r="I7" s="74" t="s">
        <v>43</v>
      </c>
    </row>
    <row r="8" spans="1:14" ht="14.4" customHeight="1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s="82" t="s">
        <v>28</v>
      </c>
      <c r="G8" s="69" t="s">
        <v>52</v>
      </c>
      <c r="H8" s="82" t="s">
        <v>33</v>
      </c>
      <c r="I8" s="17">
        <v>90</v>
      </c>
    </row>
    <row r="9" spans="1:14" ht="15" customHeight="1" x14ac:dyDescent="0.3">
      <c r="A9" s="23">
        <v>45748</v>
      </c>
      <c r="B9" s="82" t="s">
        <v>18</v>
      </c>
      <c r="C9" s="21" t="str">
        <f>IFERROR(VLOOKUP(B9,'2. CADASTRO DE VEÍCULOS'!B:D,3,0),"")</f>
        <v>CITY SEDAN EX 1.5 FLEX 16V 4P AUTOMATICO</v>
      </c>
      <c r="D9" s="81" t="str">
        <f>IFERROR(VLOOKUP(B9,'2. CADASTRO DE VEÍCULOS'!B:C,2,0),"")</f>
        <v>HONDA</v>
      </c>
      <c r="E9" t="s">
        <v>37</v>
      </c>
      <c r="F9" s="82" t="s">
        <v>28</v>
      </c>
      <c r="G9" s="69" t="s">
        <v>53</v>
      </c>
      <c r="H9" s="82" t="s">
        <v>33</v>
      </c>
      <c r="I9" s="17">
        <v>198</v>
      </c>
    </row>
    <row r="10" spans="1:14" ht="14.4" x14ac:dyDescent="0.3">
      <c r="A10" s="23">
        <v>45748</v>
      </c>
      <c r="B10" s="82" t="s">
        <v>18</v>
      </c>
      <c r="C10" s="21" t="str">
        <f>IFERROR(VLOOKUP(B10,'2. CADASTRO DE VEÍCULOS'!B:D,3,0),"")</f>
        <v>CITY SEDAN EX 1.5 FLEX 16V 4P AUTOMATICO</v>
      </c>
      <c r="D10" s="81" t="str">
        <f>IFERROR(VLOOKUP(B10,'2. CADASTRO DE VEÍCULOS'!B:C,2,0),"")</f>
        <v>HONDA</v>
      </c>
      <c r="E10" t="s">
        <v>37</v>
      </c>
      <c r="F10" s="82" t="s">
        <v>28</v>
      </c>
      <c r="G10" s="69" t="s">
        <v>54</v>
      </c>
      <c r="H10" s="82" t="s">
        <v>33</v>
      </c>
      <c r="I10" s="17">
        <v>48</v>
      </c>
    </row>
    <row r="11" spans="1:14" ht="14.4" x14ac:dyDescent="0.3">
      <c r="A11" s="23">
        <v>45748</v>
      </c>
      <c r="B11" s="82" t="s">
        <v>18</v>
      </c>
      <c r="C11" s="21" t="str">
        <f>IFERROR(VLOOKUP(B11,'2. CADASTRO DE VEÍCULOS'!B:D,3,0),"")</f>
        <v>CITY SEDAN EX 1.5 FLEX 16V 4P AUTOMATICO</v>
      </c>
      <c r="D11" s="81" t="str">
        <f>IFERROR(VLOOKUP(B11,'2. CADASTRO DE VEÍCULOS'!B:C,2,0),"")</f>
        <v>HONDA</v>
      </c>
      <c r="E11" t="s">
        <v>37</v>
      </c>
      <c r="F11" s="82" t="s">
        <v>28</v>
      </c>
      <c r="G11" s="69" t="s">
        <v>55</v>
      </c>
      <c r="H11" s="82" t="s">
        <v>33</v>
      </c>
      <c r="I11" s="17">
        <v>50</v>
      </c>
    </row>
    <row r="12" spans="1:14" ht="17.25" customHeight="1" x14ac:dyDescent="0.3">
      <c r="A12" s="23">
        <v>45748</v>
      </c>
      <c r="B12" s="82" t="s">
        <v>18</v>
      </c>
      <c r="C12" s="21" t="str">
        <f>IFERROR(VLOOKUP(B12,'2. CADASTRO DE VEÍCULOS'!B:D,3,0),"")</f>
        <v>CITY SEDAN EX 1.5 FLEX 16V 4P AUTOMATICO</v>
      </c>
      <c r="D12" s="81" t="str">
        <f>IFERROR(VLOOKUP(B12,'2. CADASTRO DE VEÍCULOS'!B:C,2,0),"")</f>
        <v>HONDA</v>
      </c>
      <c r="E12" t="s">
        <v>37</v>
      </c>
      <c r="F12" s="82" t="s">
        <v>28</v>
      </c>
      <c r="G12" s="69" t="s">
        <v>56</v>
      </c>
      <c r="H12" s="82" t="s">
        <v>33</v>
      </c>
      <c r="I12" s="17">
        <v>40</v>
      </c>
    </row>
    <row r="13" spans="1:14" ht="14.4" x14ac:dyDescent="0.3">
      <c r="A13" s="23">
        <v>45748</v>
      </c>
      <c r="B13" s="82" t="s">
        <v>18</v>
      </c>
      <c r="C13" s="21" t="str">
        <f>IFERROR(VLOOKUP(B13,'2. CADASTRO DE VEÍCULOS'!B:D,3,0),"")</f>
        <v>CITY SEDAN EX 1.5 FLEX 16V 4P AUTOMATICO</v>
      </c>
      <c r="D13" s="81" t="str">
        <f>IFERROR(VLOOKUP(B13,'2. CADASTRO DE VEÍCULOS'!B:C,2,0),"")</f>
        <v>HONDA</v>
      </c>
      <c r="E13" t="s">
        <v>37</v>
      </c>
      <c r="F13" s="82" t="s">
        <v>28</v>
      </c>
      <c r="G13" s="69" t="s">
        <v>57</v>
      </c>
      <c r="H13" s="82" t="s">
        <v>33</v>
      </c>
      <c r="I13" s="17">
        <v>78</v>
      </c>
    </row>
    <row r="14" spans="1:14" ht="14.4" x14ac:dyDescent="0.3">
      <c r="A14" s="23">
        <v>45748</v>
      </c>
      <c r="B14" s="82" t="s">
        <v>18</v>
      </c>
      <c r="C14" s="21" t="str">
        <f>IFERROR(VLOOKUP(B14,'2. CADASTRO DE VEÍCULOS'!B:D,3,0),"")</f>
        <v>CITY SEDAN EX 1.5 FLEX 16V 4P AUTOMATICO</v>
      </c>
      <c r="D14" s="81" t="str">
        <f>IFERROR(VLOOKUP(B14,'2. CADASTRO DE VEÍCULOS'!B:C,2,0),"")</f>
        <v>HONDA</v>
      </c>
      <c r="E14" t="s">
        <v>37</v>
      </c>
      <c r="F14" s="82" t="s">
        <v>28</v>
      </c>
      <c r="G14" s="69" t="s">
        <v>58</v>
      </c>
      <c r="H14" s="82" t="s">
        <v>33</v>
      </c>
      <c r="I14" s="17">
        <v>50</v>
      </c>
    </row>
    <row r="15" spans="1:14" ht="14.4" x14ac:dyDescent="0.3">
      <c r="A15" s="23">
        <v>45748</v>
      </c>
      <c r="B15" s="82" t="s">
        <v>18</v>
      </c>
      <c r="C15" s="21" t="str">
        <f>IFERROR(VLOOKUP(B15,'2. CADASTRO DE VEÍCULOS'!B:D,3,0),"")</f>
        <v>CITY SEDAN EX 1.5 FLEX 16V 4P AUTOMATICO</v>
      </c>
      <c r="D15" s="81" t="str">
        <f>IFERROR(VLOOKUP(B15,'2. CADASTRO DE VEÍCULOS'!B:C,2,0),"")</f>
        <v>HONDA</v>
      </c>
      <c r="E15" t="s">
        <v>37</v>
      </c>
      <c r="F15" s="82" t="s">
        <v>28</v>
      </c>
      <c r="G15" s="69" t="s">
        <v>59</v>
      </c>
      <c r="H15" s="82" t="s">
        <v>33</v>
      </c>
      <c r="I15" s="17">
        <v>56</v>
      </c>
    </row>
    <row r="16" spans="1:14" ht="14.4" x14ac:dyDescent="0.3">
      <c r="A16" s="23">
        <v>45748</v>
      </c>
      <c r="B16" s="82" t="s">
        <v>18</v>
      </c>
      <c r="C16" s="21" t="str">
        <f>IFERROR(VLOOKUP(B16,'2. CADASTRO DE VEÍCULOS'!B:D,3,0),"")</f>
        <v>CITY SEDAN EX 1.5 FLEX 16V 4P AUTOMATICO</v>
      </c>
      <c r="D16" s="81" t="str">
        <f>IFERROR(VLOOKUP(B16,'2. CADASTRO DE VEÍCULOS'!B:C,2,0),"")</f>
        <v>HONDA</v>
      </c>
      <c r="E16" t="s">
        <v>37</v>
      </c>
      <c r="F16" s="82" t="s">
        <v>125</v>
      </c>
      <c r="G16" s="69" t="s">
        <v>60</v>
      </c>
      <c r="H16" s="82" t="s">
        <v>33</v>
      </c>
      <c r="I16" s="17">
        <v>30</v>
      </c>
    </row>
    <row r="17" spans="1:9" ht="14.4" x14ac:dyDescent="0.3">
      <c r="A17" s="23">
        <v>45748</v>
      </c>
      <c r="B17" s="82" t="s">
        <v>18</v>
      </c>
      <c r="C17" s="21" t="str">
        <f>IFERROR(VLOOKUP(B17,'2. CADASTRO DE VEÍCULOS'!B:D,3,0),"")</f>
        <v>CITY SEDAN EX 1.5 FLEX 16V 4P AUTOMATICO</v>
      </c>
      <c r="D17" s="81" t="str">
        <f>IFERROR(VLOOKUP(B17,'2. CADASTRO DE VEÍCULOS'!B:C,2,0),"")</f>
        <v>HONDA</v>
      </c>
      <c r="E17" t="s">
        <v>37</v>
      </c>
      <c r="F17" s="82" t="s">
        <v>28</v>
      </c>
      <c r="G17" s="69" t="s">
        <v>61</v>
      </c>
      <c r="H17" s="82" t="s">
        <v>33</v>
      </c>
      <c r="I17" s="17">
        <v>28</v>
      </c>
    </row>
    <row r="18" spans="1:9" ht="14.4" x14ac:dyDescent="0.3">
      <c r="A18" s="23">
        <v>45748</v>
      </c>
      <c r="B18" s="82" t="s">
        <v>18</v>
      </c>
      <c r="C18" s="21" t="str">
        <f>IFERROR(VLOOKUP(B18,'2. CADASTRO DE VEÍCULOS'!B:D,3,0),"")</f>
        <v>CITY SEDAN EX 1.5 FLEX 16V 4P AUTOMATICO</v>
      </c>
      <c r="D18" s="81" t="str">
        <f>IFERROR(VLOOKUP(B18,'2. CADASTRO DE VEÍCULOS'!B:C,2,0),"")</f>
        <v>HONDA</v>
      </c>
      <c r="E18" t="s">
        <v>37</v>
      </c>
      <c r="F18" s="82" t="s">
        <v>28</v>
      </c>
      <c r="G18" s="69" t="s">
        <v>62</v>
      </c>
      <c r="H18" s="82" t="s">
        <v>33</v>
      </c>
      <c r="I18" s="17">
        <v>28</v>
      </c>
    </row>
    <row r="19" spans="1:9" ht="14.4" x14ac:dyDescent="0.3">
      <c r="A19" s="23">
        <v>45748</v>
      </c>
      <c r="B19" s="82" t="s">
        <v>18</v>
      </c>
      <c r="C19" s="21" t="str">
        <f>IFERROR(VLOOKUP(B19,'2. CADASTRO DE VEÍCULOS'!B:D,3,0),"")</f>
        <v>CITY SEDAN EX 1.5 FLEX 16V 4P AUTOMATICO</v>
      </c>
      <c r="D19" s="81" t="str">
        <f>IFERROR(VLOOKUP(B19,'2. CADASTRO DE VEÍCULOS'!B:C,2,0),"")</f>
        <v>HONDA</v>
      </c>
      <c r="E19" t="s">
        <v>37</v>
      </c>
      <c r="F19" s="82" t="s">
        <v>28</v>
      </c>
      <c r="G19" s="69" t="s">
        <v>63</v>
      </c>
      <c r="H19" s="82" t="s">
        <v>33</v>
      </c>
      <c r="I19" s="17">
        <v>160</v>
      </c>
    </row>
    <row r="20" spans="1:9" ht="14.4" x14ac:dyDescent="0.3">
      <c r="A20" s="23">
        <v>45748</v>
      </c>
      <c r="B20" s="82" t="s">
        <v>18</v>
      </c>
      <c r="C20" s="21" t="str">
        <f>IFERROR(VLOOKUP(B20,'2. CADASTRO DE VEÍCULOS'!B:D,3,0),"")</f>
        <v>CITY SEDAN EX 1.5 FLEX 16V 4P AUTOMATICO</v>
      </c>
      <c r="D20" s="81" t="str">
        <f>IFERROR(VLOOKUP(B20,'2. CADASTRO DE VEÍCULOS'!B:C,2,0),"")</f>
        <v>HONDA</v>
      </c>
      <c r="E20" t="s">
        <v>37</v>
      </c>
      <c r="F20" s="82" t="s">
        <v>28</v>
      </c>
      <c r="G20" s="69" t="s">
        <v>64</v>
      </c>
      <c r="H20" s="82" t="s">
        <v>33</v>
      </c>
      <c r="I20" s="17">
        <v>110</v>
      </c>
    </row>
    <row r="21" spans="1:9" ht="14.4" x14ac:dyDescent="0.3">
      <c r="A21" s="23">
        <v>45748</v>
      </c>
      <c r="B21" s="82" t="s">
        <v>18</v>
      </c>
      <c r="C21" s="21" t="str">
        <f>IFERROR(VLOOKUP(B21,'2. CADASTRO DE VEÍCULOS'!B:D,3,0),"")</f>
        <v>CITY SEDAN EX 1.5 FLEX 16V 4P AUTOMATICO</v>
      </c>
      <c r="D21" s="81" t="str">
        <f>IFERROR(VLOOKUP(B21,'2. CADASTRO DE VEÍCULOS'!B:C,2,0),"")</f>
        <v>HONDA</v>
      </c>
      <c r="E21" t="s">
        <v>37</v>
      </c>
      <c r="F21" s="82" t="s">
        <v>28</v>
      </c>
      <c r="G21" s="69" t="s">
        <v>129</v>
      </c>
      <c r="H21" s="82" t="s">
        <v>33</v>
      </c>
      <c r="I21" s="17">
        <v>256</v>
      </c>
    </row>
    <row r="22" spans="1:9" ht="14.4" x14ac:dyDescent="0.3">
      <c r="A22" s="23">
        <v>45748</v>
      </c>
      <c r="B22" s="82" t="s">
        <v>18</v>
      </c>
      <c r="C22" s="21" t="str">
        <f>IFERROR(VLOOKUP(B22,'2. CADASTRO DE VEÍCULOS'!B:D,3,0),"")</f>
        <v>CITY SEDAN EX 1.5 FLEX 16V 4P AUTOMATICO</v>
      </c>
      <c r="D22" s="81" t="str">
        <f>IFERROR(VLOOKUP(B22,'2. CADASTRO DE VEÍCULOS'!B:C,2,0),"")</f>
        <v>HONDA</v>
      </c>
      <c r="E22" t="s">
        <v>37</v>
      </c>
      <c r="F22" s="82" t="s">
        <v>130</v>
      </c>
      <c r="G22" s="69" t="s">
        <v>65</v>
      </c>
      <c r="H22" s="82" t="s">
        <v>33</v>
      </c>
      <c r="I22" s="17">
        <v>95</v>
      </c>
    </row>
    <row r="23" spans="1:9" ht="14.4" x14ac:dyDescent="0.3">
      <c r="A23" s="23">
        <v>45748</v>
      </c>
      <c r="B23" s="82" t="s">
        <v>18</v>
      </c>
      <c r="C23" s="21" t="str">
        <f>IFERROR(VLOOKUP(B23,'2. CADASTRO DE VEÍCULOS'!B:D,3,0),"")</f>
        <v>CITY SEDAN EX 1.5 FLEX 16V 4P AUTOMATICO</v>
      </c>
      <c r="D23" s="81" t="str">
        <f>IFERROR(VLOOKUP(B23,'2. CADASTRO DE VEÍCULOS'!B:C,2,0),"")</f>
        <v>HONDA</v>
      </c>
      <c r="E23" t="s">
        <v>37</v>
      </c>
      <c r="F23" s="82" t="s">
        <v>28</v>
      </c>
      <c r="G23" s="69" t="s">
        <v>66</v>
      </c>
      <c r="H23" s="82" t="s">
        <v>33</v>
      </c>
      <c r="I23" s="17">
        <v>235</v>
      </c>
    </row>
    <row r="24" spans="1:9" ht="14.4" x14ac:dyDescent="0.3">
      <c r="A24" s="23">
        <v>45748</v>
      </c>
      <c r="B24" s="82" t="s">
        <v>18</v>
      </c>
      <c r="C24" s="21" t="str">
        <f>IFERROR(VLOOKUP(B24,'2. CADASTRO DE VEÍCULOS'!B:D,3,0),"")</f>
        <v>CITY SEDAN EX 1.5 FLEX 16V 4P AUTOMATICO</v>
      </c>
      <c r="D24" s="81" t="str">
        <f>IFERROR(VLOOKUP(B24,'2. CADASTRO DE VEÍCULOS'!B:C,2,0),"")</f>
        <v>HONDA</v>
      </c>
      <c r="E24" t="s">
        <v>37</v>
      </c>
      <c r="F24" s="82" t="s">
        <v>28</v>
      </c>
      <c r="G24" s="69" t="s">
        <v>67</v>
      </c>
      <c r="H24" s="82" t="s">
        <v>33</v>
      </c>
      <c r="I24" s="17">
        <v>470</v>
      </c>
    </row>
    <row r="25" spans="1:9" ht="14.4" x14ac:dyDescent="0.3">
      <c r="A25" s="23">
        <v>45748</v>
      </c>
      <c r="B25" s="82" t="s">
        <v>18</v>
      </c>
      <c r="C25" s="21" t="str">
        <f>IFERROR(VLOOKUP(B25,'2. CADASTRO DE VEÍCULOS'!B:D,3,0),"")</f>
        <v>CITY SEDAN EX 1.5 FLEX 16V 4P AUTOMATICO</v>
      </c>
      <c r="D25" s="81" t="str">
        <f>IFERROR(VLOOKUP(B25,'2. CADASTRO DE VEÍCULOS'!B:C,2,0),"")</f>
        <v>HONDA</v>
      </c>
      <c r="E25" t="s">
        <v>37</v>
      </c>
      <c r="F25" s="82" t="s">
        <v>28</v>
      </c>
      <c r="G25" s="69" t="s">
        <v>68</v>
      </c>
      <c r="H25" s="82" t="s">
        <v>33</v>
      </c>
      <c r="I25" s="17">
        <v>690</v>
      </c>
    </row>
    <row r="26" spans="1:9" ht="14.4" x14ac:dyDescent="0.3">
      <c r="A26" s="23">
        <v>45748</v>
      </c>
      <c r="B26" s="82" t="s">
        <v>18</v>
      </c>
      <c r="C26" s="21" t="str">
        <f>IFERROR(VLOOKUP(B26,'2. CADASTRO DE VEÍCULOS'!B:D,3,0),"")</f>
        <v>CITY SEDAN EX 1.5 FLEX 16V 4P AUTOMATICO</v>
      </c>
      <c r="D26" s="81" t="str">
        <f>IFERROR(VLOOKUP(B26,'2. CADASTRO DE VEÍCULOS'!B:C,2,0),"")</f>
        <v>HONDA</v>
      </c>
      <c r="E26" t="s">
        <v>37</v>
      </c>
      <c r="F26" s="82" t="s">
        <v>30</v>
      </c>
      <c r="G26" s="69" t="s">
        <v>69</v>
      </c>
      <c r="H26" s="82" t="s">
        <v>34</v>
      </c>
      <c r="I26" s="17">
        <v>60</v>
      </c>
    </row>
    <row r="27" spans="1:9" ht="14.4" x14ac:dyDescent="0.3">
      <c r="A27" s="23">
        <v>45748</v>
      </c>
      <c r="B27" s="82" t="s">
        <v>18</v>
      </c>
      <c r="C27" s="21" t="str">
        <f>IFERROR(VLOOKUP(B27,'2. CADASTRO DE VEÍCULOS'!B:D,3,0),"")</f>
        <v>CITY SEDAN EX 1.5 FLEX 16V 4P AUTOMATICO</v>
      </c>
      <c r="D27" s="81" t="str">
        <f>IFERROR(VLOOKUP(B27,'2. CADASTRO DE VEÍCULOS'!B:C,2,0),"")</f>
        <v>HONDA</v>
      </c>
      <c r="E27" t="s">
        <v>37</v>
      </c>
      <c r="F27" s="82" t="s">
        <v>125</v>
      </c>
      <c r="G27" s="69" t="s">
        <v>70</v>
      </c>
      <c r="H27" s="82" t="s">
        <v>34</v>
      </c>
      <c r="I27" s="17">
        <v>70</v>
      </c>
    </row>
    <row r="28" spans="1:9" ht="14.4" x14ac:dyDescent="0.3">
      <c r="A28" s="23">
        <v>45748</v>
      </c>
      <c r="B28" s="82" t="s">
        <v>18</v>
      </c>
      <c r="C28" s="21" t="str">
        <f>IFERROR(VLOOKUP(B28,'2. CADASTRO DE VEÍCULOS'!B:D,3,0),"")</f>
        <v>CITY SEDAN EX 1.5 FLEX 16V 4P AUTOMATICO</v>
      </c>
      <c r="D28" s="81" t="str">
        <f>IFERROR(VLOOKUP(B28,'2. CADASTRO DE VEÍCULOS'!B:C,2,0),"")</f>
        <v>HONDA</v>
      </c>
      <c r="E28" t="s">
        <v>37</v>
      </c>
      <c r="F28" s="82" t="s">
        <v>28</v>
      </c>
      <c r="G28" s="69" t="s">
        <v>71</v>
      </c>
      <c r="H28" s="82" t="s">
        <v>34</v>
      </c>
      <c r="I28" s="17">
        <v>60</v>
      </c>
    </row>
    <row r="29" spans="1:9" ht="14.4" x14ac:dyDescent="0.3">
      <c r="A29" s="23">
        <v>45748</v>
      </c>
      <c r="B29" s="82" t="s">
        <v>18</v>
      </c>
      <c r="C29" s="21" t="str">
        <f>IFERROR(VLOOKUP(B29,'2. CADASTRO DE VEÍCULOS'!B:D,3,0),"")</f>
        <v>CITY SEDAN EX 1.5 FLEX 16V 4P AUTOMATICO</v>
      </c>
      <c r="D29" s="81" t="str">
        <f>IFERROR(VLOOKUP(B29,'2. CADASTRO DE VEÍCULOS'!B:C,2,0),"")</f>
        <v>HONDA</v>
      </c>
      <c r="E29" t="s">
        <v>37</v>
      </c>
      <c r="F29" s="82" t="s">
        <v>28</v>
      </c>
      <c r="G29" s="69" t="s">
        <v>72</v>
      </c>
      <c r="H29" s="82" t="s">
        <v>34</v>
      </c>
      <c r="I29" s="17">
        <v>240</v>
      </c>
    </row>
    <row r="30" spans="1:9" ht="14.4" x14ac:dyDescent="0.3">
      <c r="A30" s="23">
        <v>45748</v>
      </c>
      <c r="B30" s="82" t="s">
        <v>18</v>
      </c>
      <c r="C30" s="21" t="str">
        <f>IFERROR(VLOOKUP(B30,'2. CADASTRO DE VEÍCULOS'!B:D,3,0),"")</f>
        <v>CITY SEDAN EX 1.5 FLEX 16V 4P AUTOMATICO</v>
      </c>
      <c r="D30" s="81" t="str">
        <f>IFERROR(VLOOKUP(B30,'2. CADASTRO DE VEÍCULOS'!B:C,2,0),"")</f>
        <v>HONDA</v>
      </c>
      <c r="E30" t="s">
        <v>37</v>
      </c>
      <c r="F30" s="82" t="s">
        <v>28</v>
      </c>
      <c r="G30" s="69" t="s">
        <v>73</v>
      </c>
      <c r="H30" s="82" t="s">
        <v>34</v>
      </c>
      <c r="I30" s="17">
        <v>450</v>
      </c>
    </row>
    <row r="31" spans="1:9" ht="14.4" x14ac:dyDescent="0.3">
      <c r="A31" s="23">
        <v>45748</v>
      </c>
      <c r="B31" s="82" t="s">
        <v>18</v>
      </c>
      <c r="C31" s="21" t="str">
        <f>IFERROR(VLOOKUP(B31,'2. CADASTRO DE VEÍCULOS'!B:D,3,0),"")</f>
        <v>CITY SEDAN EX 1.5 FLEX 16V 4P AUTOMATICO</v>
      </c>
      <c r="D31" s="81" t="str">
        <f>IFERROR(VLOOKUP(B31,'2. CADASTRO DE VEÍCULOS'!B:C,2,0),"")</f>
        <v>HONDA</v>
      </c>
      <c r="E31" t="s">
        <v>37</v>
      </c>
      <c r="F31" s="82" t="s">
        <v>28</v>
      </c>
      <c r="G31" s="69" t="s">
        <v>74</v>
      </c>
      <c r="H31" s="82" t="s">
        <v>34</v>
      </c>
      <c r="I31" s="17">
        <v>90</v>
      </c>
    </row>
    <row r="32" spans="1:9" ht="14.4" x14ac:dyDescent="0.3">
      <c r="A32" s="23">
        <v>45748</v>
      </c>
      <c r="B32" s="82" t="s">
        <v>18</v>
      </c>
      <c r="C32" s="21" t="str">
        <f>IFERROR(VLOOKUP(B32,'2. CADASTRO DE VEÍCULOS'!B:D,3,0),"")</f>
        <v>CITY SEDAN EX 1.5 FLEX 16V 4P AUTOMATICO</v>
      </c>
      <c r="D32" s="81" t="str">
        <f>IFERROR(VLOOKUP(B32,'2. CADASTRO DE VEÍCULOS'!B:C,2,0),"")</f>
        <v>HONDA</v>
      </c>
      <c r="E32" t="s">
        <v>37</v>
      </c>
      <c r="F32" s="82" t="s">
        <v>28</v>
      </c>
      <c r="G32" s="69" t="s">
        <v>75</v>
      </c>
      <c r="H32" s="82" t="s">
        <v>34</v>
      </c>
      <c r="I32" s="17">
        <v>120</v>
      </c>
    </row>
    <row r="33" spans="1:9" ht="13.5" customHeight="1" x14ac:dyDescent="0.3">
      <c r="A33" s="23">
        <v>45748</v>
      </c>
      <c r="B33" s="82" t="s">
        <v>18</v>
      </c>
      <c r="C33" s="21" t="str">
        <f>IFERROR(VLOOKUP(B33,'2. CADASTRO DE VEÍCULOS'!B:D,3,0),"")</f>
        <v>CITY SEDAN EX 1.5 FLEX 16V 4P AUTOMATICO</v>
      </c>
      <c r="D33" s="81" t="str">
        <f>IFERROR(VLOOKUP(B33,'2. CADASTRO DE VEÍCULOS'!B:C,2,0),"")</f>
        <v>HONDA</v>
      </c>
      <c r="E33" t="s">
        <v>37</v>
      </c>
      <c r="F33" s="82" t="s">
        <v>28</v>
      </c>
      <c r="G33" s="76" t="s">
        <v>76</v>
      </c>
      <c r="H33" s="82" t="s">
        <v>34</v>
      </c>
      <c r="I33" s="17">
        <v>210</v>
      </c>
    </row>
    <row r="34" spans="1:9" ht="14.4" x14ac:dyDescent="0.3">
      <c r="A34" s="23">
        <v>45748</v>
      </c>
      <c r="B34" s="82" t="s">
        <v>18</v>
      </c>
      <c r="C34" s="21" t="str">
        <f>IFERROR(VLOOKUP(B34,'2. CADASTRO DE VEÍCULOS'!B:D,3,0),"")</f>
        <v>CITY SEDAN EX 1.5 FLEX 16V 4P AUTOMATICO</v>
      </c>
      <c r="D34" s="81" t="str">
        <f>IFERROR(VLOOKUP(B34,'2. CADASTRO DE VEÍCULOS'!B:C,2,0),"")</f>
        <v>HONDA</v>
      </c>
      <c r="E34" t="s">
        <v>37</v>
      </c>
      <c r="F34" s="82" t="s">
        <v>28</v>
      </c>
      <c r="G34" s="69" t="s">
        <v>77</v>
      </c>
      <c r="H34" s="82" t="s">
        <v>34</v>
      </c>
      <c r="I34" s="17">
        <v>240</v>
      </c>
    </row>
    <row r="35" spans="1:9" ht="14.4" x14ac:dyDescent="0.3">
      <c r="A35" s="23">
        <v>45748</v>
      </c>
      <c r="B35" s="82" t="s">
        <v>18</v>
      </c>
      <c r="C35" s="21" t="str">
        <f>IFERROR(VLOOKUP(B35,'2. CADASTRO DE VEÍCULOS'!B:D,3,0),"")</f>
        <v>CITY SEDAN EX 1.5 FLEX 16V 4P AUTOMATICO</v>
      </c>
      <c r="D35" s="81" t="str">
        <f>IFERROR(VLOOKUP(B35,'2. CADASTRO DE VEÍCULOS'!B:C,2,0),"")</f>
        <v>HONDA</v>
      </c>
      <c r="E35" t="s">
        <v>37</v>
      </c>
      <c r="F35" s="82" t="s">
        <v>28</v>
      </c>
      <c r="G35" s="69" t="s">
        <v>78</v>
      </c>
      <c r="H35" s="82" t="s">
        <v>34</v>
      </c>
      <c r="I35" s="17">
        <v>90</v>
      </c>
    </row>
    <row r="36" spans="1:9" ht="14.4" x14ac:dyDescent="0.3">
      <c r="A36" s="23">
        <v>45748</v>
      </c>
      <c r="B36" s="82" t="s">
        <v>18</v>
      </c>
      <c r="C36" s="21" t="str">
        <f>IFERROR(VLOOKUP(B36,'2. CADASTRO DE VEÍCULOS'!B:D,3,0),"")</f>
        <v>CITY SEDAN EX 1.5 FLEX 16V 4P AUTOMATICO</v>
      </c>
      <c r="D36" s="81" t="str">
        <f>IFERROR(VLOOKUP(B36,'2. CADASTRO DE VEÍCULOS'!B:C,2,0),"")</f>
        <v>HONDA</v>
      </c>
      <c r="E36" t="s">
        <v>37</v>
      </c>
      <c r="F36" s="82" t="s">
        <v>28</v>
      </c>
      <c r="G36" s="69" t="s">
        <v>79</v>
      </c>
      <c r="H36" s="82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C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81</v>
      </c>
      <c r="G7" s="72" t="s">
        <v>82</v>
      </c>
      <c r="H7" s="72" t="s">
        <v>132</v>
      </c>
      <c r="I7" s="72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t="s">
        <v>37</v>
      </c>
      <c r="F8" t="s">
        <v>127</v>
      </c>
      <c r="G8" s="24">
        <f>IFERROR(VLOOKUP(F8,'3. CADASTROS GERAIS'!A:B,2,0),"")</f>
        <v>5000</v>
      </c>
      <c r="H8" s="76" t="s">
        <v>131</v>
      </c>
      <c r="I8" s="83" t="s">
        <v>88</v>
      </c>
      <c r="J8" s="82" t="s">
        <v>88</v>
      </c>
      <c r="K8" s="80">
        <v>256</v>
      </c>
      <c r="L8">
        <v>86939</v>
      </c>
      <c r="M8" s="28">
        <f>L8+G8</f>
        <v>91939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dataValidations count="4">
    <dataValidation type="list" allowBlank="1" showInputMessage="1" showErrorMessage="1" sqref="B8:B11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7" t="s">
        <v>1</v>
      </c>
      <c r="C2" s="88"/>
      <c r="D2" s="88"/>
      <c r="E2" s="88"/>
      <c r="F2" s="88"/>
    </row>
    <row r="3" spans="1:13" ht="32.25" customHeight="1" x14ac:dyDescent="0.3">
      <c r="B3" s="89"/>
      <c r="C3" s="89"/>
      <c r="D3" s="89"/>
      <c r="E3" s="89"/>
      <c r="F3" s="89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0" t="s">
        <v>1</v>
      </c>
      <c r="E2" s="90"/>
      <c r="F2" s="90"/>
      <c r="G2" s="90"/>
      <c r="H2" s="90"/>
      <c r="I2" s="90"/>
      <c r="J2" s="90"/>
      <c r="K2" s="90"/>
    </row>
    <row r="3" spans="1:15" ht="32.25" customHeight="1" x14ac:dyDescent="0.3">
      <c r="D3" s="90"/>
      <c r="E3" s="90"/>
      <c r="F3" s="90"/>
      <c r="G3" s="90"/>
      <c r="H3" s="90"/>
      <c r="I3" s="90"/>
      <c r="J3" s="90"/>
      <c r="K3" s="90"/>
    </row>
    <row r="4" spans="1:15" ht="23.25" customHeight="1" x14ac:dyDescent="0.3">
      <c r="A4" s="8" t="s">
        <v>2</v>
      </c>
      <c r="B4" s="91" t="s">
        <v>3</v>
      </c>
      <c r="C4" s="92"/>
      <c r="D4" s="91" t="s">
        <v>4</v>
      </c>
      <c r="E4" s="92"/>
      <c r="F4" s="91" t="s">
        <v>5</v>
      </c>
      <c r="G4" s="92"/>
      <c r="H4" s="93" t="s">
        <v>6</v>
      </c>
      <c r="I4" s="94"/>
      <c r="J4" s="8" t="s">
        <v>7</v>
      </c>
      <c r="K4" s="4" t="s">
        <v>90</v>
      </c>
      <c r="L4" s="2"/>
      <c r="M4" s="2"/>
      <c r="N4" s="52"/>
      <c r="O4" s="52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1"/>
      <c r="M6" s="51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143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0">
        <v>7.8027820356981508</v>
      </c>
    </row>
    <row r="13" spans="1:15" x14ac:dyDescent="0.3">
      <c r="A13" s="34"/>
      <c r="B13" s="40" t="s">
        <v>13</v>
      </c>
      <c r="C13" s="96" t="s">
        <v>42</v>
      </c>
      <c r="D13" s="97" t="s">
        <v>98</v>
      </c>
      <c r="E13" s="97" t="s">
        <v>99</v>
      </c>
      <c r="F13" s="97" t="s">
        <v>100</v>
      </c>
      <c r="G13" s="35" t="s">
        <v>101</v>
      </c>
      <c r="J13" s="102" t="s">
        <v>102</v>
      </c>
      <c r="K13" s="101">
        <v>7.8027820356981508</v>
      </c>
    </row>
    <row r="14" spans="1:15" x14ac:dyDescent="0.3">
      <c r="A14" s="34"/>
      <c r="B14" s="34" t="s">
        <v>18</v>
      </c>
      <c r="C14" s="98">
        <v>45744</v>
      </c>
      <c r="D14" s="103">
        <v>100.01</v>
      </c>
      <c r="E14" s="104">
        <v>131</v>
      </c>
      <c r="F14" s="103">
        <v>0.76343511450381685</v>
      </c>
      <c r="G14" s="49">
        <v>7.9247075292470752</v>
      </c>
    </row>
    <row r="15" spans="1:15" x14ac:dyDescent="0.3">
      <c r="A15" s="34"/>
      <c r="B15" s="34"/>
      <c r="C15" s="98">
        <v>45753</v>
      </c>
      <c r="D15" s="103">
        <v>230.08</v>
      </c>
      <c r="E15" s="104">
        <v>305</v>
      </c>
      <c r="F15" s="103">
        <v>0.75436065573770494</v>
      </c>
      <c r="G15" s="49">
        <v>7.913986439499304</v>
      </c>
    </row>
    <row r="16" spans="1:15" x14ac:dyDescent="0.3">
      <c r="A16" s="34"/>
      <c r="B16" s="34"/>
      <c r="C16" s="98">
        <v>45756</v>
      </c>
      <c r="D16" s="103">
        <v>262.51</v>
      </c>
      <c r="E16" s="104">
        <v>347</v>
      </c>
      <c r="F16" s="103">
        <v>0.75651296829971182</v>
      </c>
      <c r="G16" s="49">
        <v>7.7592853605576932</v>
      </c>
    </row>
    <row r="17" spans="1:11" x14ac:dyDescent="0.3">
      <c r="A17" s="34"/>
      <c r="B17" s="34"/>
      <c r="C17" s="98">
        <v>45759</v>
      </c>
      <c r="D17" s="103">
        <v>249</v>
      </c>
      <c r="E17" s="104">
        <v>320</v>
      </c>
      <c r="F17" s="103">
        <v>0.77812499999999996</v>
      </c>
      <c r="G17" s="49">
        <v>7.697991967871487</v>
      </c>
    </row>
    <row r="18" spans="1:11" ht="15" thickBot="1" x14ac:dyDescent="0.35">
      <c r="A18" s="34"/>
      <c r="B18" s="36" t="s">
        <v>102</v>
      </c>
      <c r="C18" s="37"/>
      <c r="D18" s="38">
        <v>841.6</v>
      </c>
      <c r="E18" s="105">
        <v>1103</v>
      </c>
      <c r="F18" s="38">
        <v>0.76300997280145066</v>
      </c>
      <c r="G18" s="50">
        <v>7.8027820356981508</v>
      </c>
    </row>
    <row r="19" spans="1:11" x14ac:dyDescent="0.3">
      <c r="A19" s="34"/>
    </row>
    <row r="20" spans="1:11" x14ac:dyDescent="0.3">
      <c r="A20" s="34"/>
    </row>
    <row r="21" spans="1:11" x14ac:dyDescent="0.3">
      <c r="A21" s="34"/>
    </row>
    <row r="22" spans="1:11" x14ac:dyDescent="0.3">
      <c r="A22" s="34"/>
    </row>
    <row r="23" spans="1:11" x14ac:dyDescent="0.3">
      <c r="A23" s="34"/>
      <c r="J23" s="53"/>
      <c r="K23" s="53"/>
    </row>
    <row r="24" spans="1:11" x14ac:dyDescent="0.3">
      <c r="A24" s="34"/>
      <c r="J24" s="53"/>
      <c r="K24" s="53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7" t="s">
        <v>1</v>
      </c>
      <c r="E2" s="88"/>
      <c r="F2" s="88"/>
      <c r="G2" s="88"/>
      <c r="H2" s="88"/>
      <c r="I2" s="88"/>
      <c r="J2" s="88"/>
    </row>
    <row r="3" spans="1:13" ht="32.25" customHeight="1" x14ac:dyDescent="0.3">
      <c r="D3" s="88"/>
      <c r="E3" s="88"/>
      <c r="F3" s="88"/>
      <c r="G3" s="88"/>
      <c r="H3" s="88"/>
      <c r="I3" s="88"/>
      <c r="J3" s="88"/>
    </row>
    <row r="4" spans="1:13" ht="23.25" customHeight="1" x14ac:dyDescent="0.3">
      <c r="A4" s="8" t="s">
        <v>2</v>
      </c>
      <c r="B4" s="91" t="s">
        <v>3</v>
      </c>
      <c r="C4" s="92"/>
      <c r="D4" s="91" t="s">
        <v>4</v>
      </c>
      <c r="E4" s="92"/>
      <c r="F4" s="91" t="s">
        <v>5</v>
      </c>
      <c r="G4" s="92"/>
      <c r="H4" s="93" t="s">
        <v>6</v>
      </c>
      <c r="I4" s="94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70">
        <v>45748</v>
      </c>
    </row>
    <row r="8" spans="1:13" ht="15" thickBot="1" x14ac:dyDescent="0.35">
      <c r="A8" s="44" t="s">
        <v>42</v>
      </c>
      <c r="B8" s="75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0">
        <v>4197</v>
      </c>
    </row>
    <row r="11" spans="1:13" x14ac:dyDescent="0.3">
      <c r="A11" s="40" t="s">
        <v>13</v>
      </c>
      <c r="B11" s="96" t="s">
        <v>15</v>
      </c>
      <c r="C11" s="96" t="s">
        <v>14</v>
      </c>
      <c r="D11" s="107" t="s">
        <v>28</v>
      </c>
      <c r="E11" s="107" t="s">
        <v>30</v>
      </c>
      <c r="F11" s="107" t="s">
        <v>125</v>
      </c>
      <c r="G11" s="107" t="s">
        <v>130</v>
      </c>
      <c r="H11" s="45" t="s">
        <v>107</v>
      </c>
      <c r="J11" s="11" t="s">
        <v>30</v>
      </c>
      <c r="K11" s="100">
        <v>60</v>
      </c>
    </row>
    <row r="12" spans="1:13" x14ac:dyDescent="0.3">
      <c r="A12" s="46" t="s">
        <v>18</v>
      </c>
      <c r="B12" s="97" t="s">
        <v>20</v>
      </c>
      <c r="C12" s="97" t="s">
        <v>19</v>
      </c>
      <c r="D12" s="106">
        <v>4197</v>
      </c>
      <c r="E12" s="106">
        <v>60</v>
      </c>
      <c r="F12" s="106">
        <v>100</v>
      </c>
      <c r="G12" s="106">
        <v>95</v>
      </c>
      <c r="H12" s="77">
        <v>4452</v>
      </c>
      <c r="J12" s="11" t="s">
        <v>125</v>
      </c>
      <c r="K12" s="100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0">
        <v>95</v>
      </c>
    </row>
    <row r="14" spans="1:13" x14ac:dyDescent="0.3">
      <c r="J14" s="11" t="s">
        <v>102</v>
      </c>
      <c r="K14" s="100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7" t="s">
        <v>1</v>
      </c>
      <c r="D2" s="88"/>
      <c r="E2" s="88"/>
      <c r="F2" s="88"/>
      <c r="G2" s="88"/>
      <c r="H2" s="88"/>
    </row>
    <row r="3" spans="1:13" ht="32.25" customHeight="1" x14ac:dyDescent="0.3">
      <c r="C3" s="88"/>
      <c r="D3" s="88"/>
      <c r="E3" s="88"/>
      <c r="F3" s="88"/>
      <c r="G3" s="88"/>
      <c r="H3" s="88"/>
    </row>
    <row r="4" spans="1:13" ht="23.25" customHeight="1" x14ac:dyDescent="0.3">
      <c r="A4" s="8" t="s">
        <v>2</v>
      </c>
      <c r="B4" s="91" t="s">
        <v>3</v>
      </c>
      <c r="C4" s="92"/>
      <c r="D4" s="91" t="s">
        <v>4</v>
      </c>
      <c r="E4" s="92"/>
      <c r="F4" s="91" t="s">
        <v>5</v>
      </c>
      <c r="G4" s="92"/>
      <c r="H4" s="93" t="s">
        <v>6</v>
      </c>
      <c r="I4" s="94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60"/>
      <c r="B7" s="60"/>
      <c r="C7" s="61"/>
      <c r="D7" s="61"/>
      <c r="E7" s="60"/>
      <c r="F7" s="62"/>
      <c r="G7" s="63"/>
      <c r="H7" s="64"/>
      <c r="I7" s="63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8" t="s">
        <v>109</v>
      </c>
      <c r="H8" s="58"/>
      <c r="I8" s="58"/>
      <c r="J8" s="58"/>
      <c r="K8" s="58"/>
      <c r="L8" s="59"/>
    </row>
    <row r="9" spans="1:13" x14ac:dyDescent="0.3">
      <c r="G9" s="57" t="s">
        <v>13</v>
      </c>
      <c r="H9" s="57" t="s">
        <v>14</v>
      </c>
      <c r="I9" s="57" t="s">
        <v>15</v>
      </c>
      <c r="J9" s="57" t="s">
        <v>110</v>
      </c>
      <c r="K9" s="57" t="s">
        <v>111</v>
      </c>
      <c r="L9" s="57" t="s">
        <v>112</v>
      </c>
    </row>
    <row r="10" spans="1:13" x14ac:dyDescent="0.3">
      <c r="G10" s="82" t="s">
        <v>18</v>
      </c>
      <c r="H10" s="82" t="s">
        <v>19</v>
      </c>
      <c r="I10" s="84" t="s">
        <v>133</v>
      </c>
      <c r="J10" s="55">
        <v>86939</v>
      </c>
      <c r="K10" s="55">
        <f t="array" ref="K10">IFERROR(LARGE(IF(G10=Tabela9[Placa],Tabela9[Próxima troca (Km)]),1),0)</f>
        <v>91939</v>
      </c>
      <c r="L10" s="56" t="str">
        <f>IF(K10&lt;=(J10*1.1),"Troca está próxima","")</f>
        <v>Troca está próxima</v>
      </c>
    </row>
    <row r="11" spans="1:13" x14ac:dyDescent="0.3">
      <c r="I11" s="54"/>
      <c r="J11" s="55"/>
      <c r="K11" s="55"/>
      <c r="L11" s="56"/>
    </row>
    <row r="12" spans="1:13" ht="15" thickBot="1" x14ac:dyDescent="0.35">
      <c r="B12" s="26" t="s">
        <v>113</v>
      </c>
      <c r="C12" s="26"/>
      <c r="D12" s="26"/>
      <c r="E12" s="26"/>
      <c r="F12" s="26"/>
      <c r="I12" s="54"/>
      <c r="J12" s="55"/>
      <c r="K12" s="55"/>
      <c r="L12" s="56"/>
    </row>
    <row r="13" spans="1:13" x14ac:dyDescent="0.3">
      <c r="B13" s="32"/>
      <c r="C13" s="31"/>
      <c r="D13" s="42" t="s">
        <v>97</v>
      </c>
      <c r="E13" s="33"/>
      <c r="I13" s="54"/>
      <c r="J13" s="55"/>
      <c r="K13" s="55"/>
      <c r="L13" s="56"/>
    </row>
    <row r="14" spans="1:13" x14ac:dyDescent="0.3">
      <c r="B14" s="40" t="s">
        <v>13</v>
      </c>
      <c r="C14" s="96" t="s">
        <v>42</v>
      </c>
      <c r="D14" s="97" t="s">
        <v>114</v>
      </c>
      <c r="E14" s="35" t="s">
        <v>115</v>
      </c>
      <c r="I14" s="54"/>
      <c r="J14" s="55"/>
      <c r="K14" s="55"/>
      <c r="L14" s="56"/>
    </row>
    <row r="15" spans="1:13" x14ac:dyDescent="0.3">
      <c r="B15" s="34" t="s">
        <v>18</v>
      </c>
      <c r="C15" s="98">
        <v>45748</v>
      </c>
      <c r="D15" s="99">
        <v>256</v>
      </c>
      <c r="E15" s="65">
        <v>1</v>
      </c>
      <c r="I15" s="54"/>
      <c r="J15" s="55"/>
      <c r="K15" s="55"/>
      <c r="L15" s="56"/>
    </row>
    <row r="16" spans="1:13" ht="15" thickBot="1" x14ac:dyDescent="0.35">
      <c r="B16" s="36" t="s">
        <v>102</v>
      </c>
      <c r="C16" s="37"/>
      <c r="D16" s="66">
        <v>256</v>
      </c>
      <c r="E16" s="67">
        <v>1</v>
      </c>
      <c r="I16" s="54"/>
      <c r="J16" s="55"/>
      <c r="K16" s="55"/>
      <c r="L16" s="56"/>
    </row>
    <row r="17" spans="9:12" x14ac:dyDescent="0.3">
      <c r="I17" s="54"/>
      <c r="J17" s="55"/>
      <c r="K17" s="55"/>
      <c r="L17" s="56"/>
    </row>
    <row r="18" spans="9:12" x14ac:dyDescent="0.3">
      <c r="I18" s="54"/>
      <c r="J18" s="55"/>
      <c r="K18" s="55"/>
      <c r="L18" s="56"/>
    </row>
    <row r="19" spans="9:12" ht="15" thickBot="1" x14ac:dyDescent="0.35">
      <c r="I19" s="54"/>
      <c r="J19" s="55"/>
      <c r="K19" s="55"/>
      <c r="L19" s="56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5" t="s">
        <v>121</v>
      </c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</row>
    <row r="7" spans="1:13" s="20" customFormat="1" x14ac:dyDescent="0.3">
      <c r="A7" s="72" t="s">
        <v>42</v>
      </c>
      <c r="B7" s="72" t="s">
        <v>13</v>
      </c>
      <c r="C7" s="73" t="s">
        <v>15</v>
      </c>
      <c r="D7" s="73" t="s">
        <v>14</v>
      </c>
      <c r="E7" s="72" t="s">
        <v>49</v>
      </c>
      <c r="F7" s="72" t="s">
        <v>30</v>
      </c>
      <c r="G7" s="78" t="s">
        <v>117</v>
      </c>
      <c r="H7" s="78" t="s">
        <v>132</v>
      </c>
      <c r="I7" s="72" t="s">
        <v>118</v>
      </c>
      <c r="J7" s="72" t="s">
        <v>119</v>
      </c>
      <c r="K7" s="72" t="s">
        <v>85</v>
      </c>
      <c r="L7" s="72" t="s">
        <v>86</v>
      </c>
      <c r="M7" s="72" t="s">
        <v>87</v>
      </c>
    </row>
    <row r="8" spans="1:13" x14ac:dyDescent="0.3">
      <c r="A8" s="23">
        <v>45748</v>
      </c>
      <c r="B8" s="82" t="s">
        <v>18</v>
      </c>
      <c r="C8" s="21" t="str">
        <f>IFERROR(VLOOKUP(B8,'2. CADASTRO DE VEÍCULOS'!B:D,3,0),"")</f>
        <v>CITY SEDAN EX 1.5 FLEX 16V 4P AUTOMATICO</v>
      </c>
      <c r="D8" s="81" t="str">
        <f>IFERROR(VLOOKUP(B8,'2. CADASTRO DE VEÍCULOS'!B:C,2,0),"")</f>
        <v>HONDA</v>
      </c>
      <c r="E8" s="82" t="s">
        <v>123</v>
      </c>
      <c r="F8" t="s">
        <v>120</v>
      </c>
      <c r="G8" s="24">
        <v>50000</v>
      </c>
      <c r="H8" t="s">
        <v>122</v>
      </c>
      <c r="I8" s="82" t="s">
        <v>89</v>
      </c>
      <c r="J8" s="82" t="s">
        <v>88</v>
      </c>
      <c r="K8" s="80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2025-04-13T16:01:22Z</dcterms:modified>
  <cp:category/>
  <cp:contentStatus/>
</cp:coreProperties>
</file>
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2ADED609-D871-4232-B0EA-CDFE47CADC71}" xr6:coauthVersionLast="47" xr6:coauthVersionMax="47" xr10:uidLastSave="{00000000-0000-0000-0000-000000000000}"/>
  <bookViews>
    <workbookView xWindow="-108" yWindow="-108" windowWidth="23256" windowHeight="12576" tabRatio="840" firstSheet="2" activeTab="8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Planilha1" sheetId="13" r:id="rId5"/>
    <sheet name="5. MANUTENÇÕES" sheetId="6" r:id="rId6"/>
    <sheet name="6. TROCAS DE ÓLEO" sheetId="7" r:id="rId7"/>
    <sheet name="7. ANÁLISE GERAL" sheetId="8" r:id="rId8"/>
    <sheet name="7.1 Abastecimento" sheetId="10" r:id="rId9"/>
    <sheet name="7.2 Manutenção" sheetId="9" r:id="rId10"/>
    <sheet name="7.3 Troca de óleo" sheetId="11" r:id="rId11"/>
    <sheet name="8. TROCAS DE PNEUS" sheetId="12" r:id="rId12"/>
  </sheets>
  <definedNames>
    <definedName name="A" localSheetId="10">Tabela26[Oficinas]</definedName>
    <definedName name="A" localSheetId="11">Tabela26[Oficinas]</definedName>
    <definedName name="A">Tabela26[Oficinas]</definedName>
    <definedName name="B" localSheetId="10">Tabela3[Tipo de óleo]</definedName>
    <definedName name="B" localSheetId="11">Tabela3[Tipo de óleo]</definedName>
    <definedName name="B">Tabela3[Tipo de óleo]</definedName>
    <definedName name="D" localSheetId="10">Tabela3[]</definedName>
    <definedName name="D" localSheetId="11">Tabela3[]</definedName>
    <definedName name="D">Tabela3[]</definedName>
    <definedName name="E" localSheetId="10">Tabela1[Placa]</definedName>
    <definedName name="E" localSheetId="11">Tabela1[Placa]</definedName>
    <definedName name="E">Tabela1[Placa]</definedName>
    <definedName name="G" localSheetId="10">Tabela2[[Combustível ]]</definedName>
    <definedName name="G" localSheetId="11">Tabela2[[Combustível ]]</definedName>
    <definedName name="G">Tabela2[[Combustível ]]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 localSheetId="11">Tabela26[Oficinas]</definedName>
    <definedName name="Oficinas">Tabela26[Oficinas]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 localSheetId="11">Tabela3[Tipo de óleo]</definedName>
    <definedName name="Oleo">Tabela3[Tipo de óleo]</definedName>
    <definedName name="Óleos" localSheetId="8">Tabela3[]</definedName>
    <definedName name="Óleos" localSheetId="9">Tabela3[]</definedName>
    <definedName name="Óleos" localSheetId="10">Tabela3[]</definedName>
    <definedName name="Óleos" localSheetId="11">Tabela3[]</definedName>
    <definedName name="Óleos">Tabela3[]</definedName>
    <definedName name="Placa" localSheetId="8">Tabela1[Placa]</definedName>
    <definedName name="Placa" localSheetId="9">Tabela1[Placa]</definedName>
    <definedName name="Placa" localSheetId="10">Tabela1[Placa]</definedName>
    <definedName name="Placa" localSheetId="11">Tabela1[Placa]</definedName>
    <definedName name="Placa">Tabela1[Placa]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 localSheetId="11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8">Tabela267[Serviços]</definedName>
    <definedName name="Servico" localSheetId="10">Tabela267[Serviços]</definedName>
    <definedName name="Servico" localSheetId="11">Tabela267[Serviços]</definedName>
    <definedName name="Servico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 localSheetId="11">Tabela267[Serviços]</definedName>
    <definedName name="Serviços">Tabela267[Serviços]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 localSheetId="11">Tabela3[Tipo de óleo]</definedName>
    <definedName name="TipoOleo">Tabela3[Tipo de óleo]</definedName>
  </definedNames>
  <calcPr calcId="191028"/>
  <pivotCaches>
    <pivotCache cacheId="10" r:id="rId13"/>
    <pivotCache cacheId="17" r:id="rId14"/>
    <pivotCache cacheId="24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5" l="1"/>
  <c r="H24" i="5"/>
  <c r="D24" i="5"/>
  <c r="C24" i="5"/>
  <c r="H23" i="5"/>
  <c r="D23" i="5"/>
  <c r="C23" i="5"/>
  <c r="H22" i="5"/>
  <c r="D22" i="5"/>
  <c r="C22" i="5"/>
  <c r="H21" i="5"/>
  <c r="D21" i="5"/>
  <c r="C21" i="5"/>
  <c r="H20" i="5"/>
  <c r="D20" i="5"/>
  <c r="C20" i="5"/>
  <c r="H19" i="5"/>
  <c r="D19" i="5"/>
  <c r="C19" i="5"/>
  <c r="H18" i="5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<sst xmlns="http://schemas.openxmlformats.org/spreadsheetml/2006/main" count="449" uniqueCount="150">
  <si>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</si>
  <si>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</si>
  <si>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</si>
  <si>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</si>
  <si>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</si>
  <si>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</si>
  <si>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</si>
  <si>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</si>
  <si>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</si>
  <si>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</si>
  <si>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</si>
  <si>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</si>
  <si>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</si>
  <si>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</si>
  <si>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</si>
  <si>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</si>
  <si>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</si>
  <si>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</si>
  <si>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</si>
  <si>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</si>
  <si>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</si>
  <si>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</si>
  <si>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</si>
  <si>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</si>
  <si>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</si>
  <si>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</si>
  <si>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</si>
  <si>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</si>
  <si>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</si>
  <si>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</si>
  <si>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</si>
  <si>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</si>
  <si>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</si>
  <si>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</si>
  <si>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</si>
  <si>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</si>
  <si>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</si>
  <si>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</si>
  <si>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</si>
  <si>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</si>
  <si>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</si>
  <si>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</si>
  <si>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</si>
  <si>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</si>
  <si>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</si>
  <si>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</si>
  <si>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</si>
  <si>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</si>
  <si>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</si>
  <si>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</si>
  <si>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</si>
  <si>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</si>
  <si>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</si>
  <si>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</si>
  <si>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</si>
  <si>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</si>
  <si>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</si>
  <si>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</si>
  <si>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</si>
  <si>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</si>
  <si>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</si>
  <si>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</si>
  <si>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</si>
  <si>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</si>
  <si>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</si>
  <si>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</si>
  <si>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</si>
  <si>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</si>
  <si>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</si>
  <si>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</si>
  <si>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</si>
  <si>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</si>
  <si>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</si>
  <si>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</si>
  <si>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</si>
  <si>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</si>
  <si>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</si>
  <si>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</si>
  <si>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</si>
  <si>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</si>
  <si>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</si>
  <si>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</si>
  <si>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</si>
  <si>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</si>
  <si>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</si>
  <si>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</si>
  <si>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</si>
  <si>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</si>
  <si>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</si>
  <si>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</si>
  <si>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</si>
  <si>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</si>
  <si>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</si>
  <si>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</si>
  <si>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</si>
  <si>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</si>
  <si>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</si>
  <si>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</si>
  <si>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</si>
  <si>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</si>
  <si>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</si>
  <si>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</si>
  <si>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</si>
  <si>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</si>
  <si>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</si>
  <si>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</si>
  <si>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</si>
  <si>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</si>
  <si>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</si>
  <si>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</si>
  <si>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</si>
  <si>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</si>
  <si>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</si>
  <si>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</si>
  <si>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</si>
  <si>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</si>
  <si>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</si>
  <si>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</si>
  <si>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</si>
  <si>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</si>
  <si>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</si>
  <si>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</si>
  <si>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</si>
  <si>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</si>
  <si>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</si>
  <si>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</si>
  <si>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</si>
  <si>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</si>
  <si>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</si>
  <si>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</si>
  <si>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</si>
  <si>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</si>
  <si>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</si>
  <si>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</si>
  <si>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</si>
  <si>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</si>
  <si>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</si>
  <si>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</si>
  <si>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</si>
  <si>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</si>
  <si>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</si>
  <si>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</si>
  <si>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</si>
  <si>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</si>
  <si>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Gasolina Comum - Posto Shell Pica Pau</t>
  </si>
  <si>
    <t>Gasolina Comum - Posto Ipiranga Rio Comprido</t>
  </si>
  <si>
    <t>Posto Amigo 11</t>
  </si>
  <si>
    <t>Posto Amigo 12</t>
  </si>
  <si>
    <t>Gasolina Comum - Posto BR 18º - Batalhao</t>
  </si>
  <si>
    <t>Gasolina Comum - Posto Ipiranga - Praca Novo Eldorado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</si>
</sst>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7.9568649960678401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35.459848495368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35.459849074075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6-28T00:00:00" count="19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d v="2025-05-29T00:00:00"/>
        <d v="2025-06-04T00:00:00"/>
        <d v="2025-06-10T00:00:00"/>
        <d v="2025-06-16T00:00:00"/>
        <d v="2025-06-20T00:00:00"/>
        <d v="2025-06-27T00:00:00"/>
        <m/>
        <d v="2025-06-05T00:00:00" u="1"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91949"/>
    </cacheField>
    <cacheField name="Km percorridos" numFmtId="164">
      <sharedItems containsString="0" containsBlank="1" containsNumber="1" containsInteger="1" minValue="131" maxValue="360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35.459849074075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0"/>
    <x v="0"/>
    <x v="0"/>
    <s v="Gasolina Comum - Posto BR 18º - Batalhao"/>
    <n v="249.84"/>
    <n v="5.99"/>
    <n v="41.709515859766277"/>
    <n v="90280"/>
    <n v="352"/>
  </r>
  <r>
    <x v="12"/>
    <x v="0"/>
    <x v="0"/>
    <x v="0"/>
    <s v="Gasolina Comum - Posto BR 18º - Batalhao"/>
    <n v="260.68"/>
    <n v="5.99"/>
    <n v="43.519198664440736"/>
    <n v="90640"/>
    <n v="360"/>
  </r>
  <r>
    <x v="13"/>
    <x v="0"/>
    <x v="0"/>
    <x v="0"/>
    <s v="Gasolina Comum - Posto BR 18º - Batalhao"/>
    <n v="243.61"/>
    <n v="5.99"/>
    <n v="40.669449081803009"/>
    <n v="90960"/>
    <n v="320"/>
  </r>
  <r>
    <x v="14"/>
    <x v="0"/>
    <x v="0"/>
    <x v="0"/>
    <s v="Gasolina Comum - Posto BR 18º - Batalhao"/>
    <n v="259.56"/>
    <n v="6.39"/>
    <n v="40.619718309859159"/>
    <n v="91284"/>
    <n v="324"/>
  </r>
  <r>
    <x v="15"/>
    <x v="0"/>
    <x v="0"/>
    <x v="0"/>
    <s v="Gasolina Comum - Posto Ipiranga - Praca Novo Eldorado"/>
    <n v="266.08"/>
    <n v="6.39"/>
    <n v="41.640062597809077"/>
    <n v="91593"/>
    <n v="309"/>
  </r>
  <r>
    <x v="16"/>
    <x v="0"/>
    <x v="0"/>
    <x v="0"/>
    <s v="Gasolina Comum - Posto Ipiranga - Praca Novo Eldorado"/>
    <n v="266.52999999999997"/>
    <n v="6.39"/>
    <n v="41.710485133020342"/>
    <n v="91949"/>
    <n v="356"/>
  </r>
  <r>
    <x v="17"/>
    <x v="1"/>
    <x v="1"/>
    <x v="1"/>
    <m/>
    <m/>
    <m/>
    <m/>
    <m/>
    <m/>
  </r>
  <r>
    <x v="17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7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31" firstHeaderRow="1" firstDataRow="2" firstDataCol="2"/>
  <pivotFields count="12">
    <pivotField axis="axisRow" compact="0" numFmtId="14" outline="0" showAll="0">
      <items count="20">
        <item x="0"/>
        <item x="17"/>
        <item x="1"/>
        <item x="2"/>
        <item x="3"/>
        <item x="4"/>
        <item x="5"/>
        <item x="6"/>
        <item x="7"/>
        <item x="8"/>
        <item x="9"/>
        <item x="10"/>
        <item x="11"/>
        <item m="1" x="18"/>
        <item x="12"/>
        <item x="13"/>
        <item x="14"/>
        <item x="15"/>
        <item x="16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8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20">
        <item x="0"/>
        <item h="1" x="17"/>
        <item x="1"/>
        <item x="2"/>
        <item x="3"/>
        <item x="4"/>
        <item x="5"/>
        <item x="6"/>
        <item x="7"/>
        <item x="8"/>
        <item x="9"/>
        <item x="10"/>
        <item x="11"/>
        <item m="1" x="18"/>
        <item x="12"/>
        <item x="13"/>
        <item x="14"/>
        <item x="15"/>
        <item x="16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10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10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24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5" totalsRowShown="0" headerRowDxfId="52">
  <autoFilter ref="A23:A35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5"/>
  <sheetViews>
    <sheetView showGridLines="0" workbookViewId="0">
      <pane ySplit="4" topLeftCell="A17" activePane="bottomLeft" state="frozen"/>
      <selection pane="bottomLeft" activeCell="A35" sqref="A35"/>
    </sheetView>
  </sheetViews>
  <sheetFormatPr defaultRowHeight="14.4" x14ac:dyDescent="0.3"/>
  <cols>
    <col min="1" max="1" width="47.88671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144</v>
      </c>
    </row>
    <row r="31" spans="1:4" x14ac:dyDescent="0.3">
      <c r="A31" t="s">
        <v>145</v>
      </c>
    </row>
    <row r="32" spans="1:4" x14ac:dyDescent="0.3">
      <c r="A32" t="s">
        <v>148</v>
      </c>
    </row>
    <row r="33" spans="1:1" x14ac:dyDescent="0.3">
      <c r="A33" t="s">
        <v>149</v>
      </c>
    </row>
    <row r="34" spans="1:1" x14ac:dyDescent="0.3">
      <c r="A34" t="s">
        <v>146</v>
      </c>
    </row>
    <row r="35" spans="1:1" x14ac:dyDescent="0.3">
      <c r="A35" t="s">
        <v>147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workbookViewId="0">
      <pane ySplit="4" topLeftCell="A8" activePane="bottomLeft" state="frozen"/>
      <selection pane="bottomLeft" activeCell="J28" sqref="J28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34.33203125" customWidth="1"/>
    <col min="6" max="6" width="17.88671875" customWidth="1"/>
    <col min="7" max="7" width="14.6640625" customWidth="1"/>
    <col min="8" max="8" width="16.77734375" customWidth="1"/>
    <col min="9" max="9" width="23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144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145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145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145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145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>
        <v>45806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148</v>
      </c>
      <c r="F19" s="17">
        <v>249.84</v>
      </c>
      <c r="G19" s="17">
        <v>5.99</v>
      </c>
      <c r="H19" s="22">
        <f>Tabela4[[#This Row],[Custo total R$]]/Tabela4[[#This Row],[Preço por litro]]</f>
        <v>41.709515859766277</v>
      </c>
      <c r="I19" s="25">
        <v>90280</v>
      </c>
      <c r="J19" s="24">
        <v>352</v>
      </c>
    </row>
    <row r="20" spans="1:10" x14ac:dyDescent="0.3">
      <c r="A20" s="23">
        <v>45812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148</v>
      </c>
      <c r="F20" s="17">
        <v>260.68</v>
      </c>
      <c r="G20" s="17">
        <v>5.99</v>
      </c>
      <c r="H20" s="22">
        <f>Tabela4[[#This Row],[Custo total R$]]/Tabela4[[#This Row],[Preço por litro]]</f>
        <v>43.519198664440736</v>
      </c>
      <c r="I20" s="25">
        <v>90640</v>
      </c>
      <c r="J20" s="24">
        <v>360</v>
      </c>
    </row>
    <row r="21" spans="1:10" x14ac:dyDescent="0.3">
      <c r="A21" s="23">
        <v>45818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148</v>
      </c>
      <c r="F21" s="17">
        <v>243.61</v>
      </c>
      <c r="G21" s="17">
        <v>5.99</v>
      </c>
      <c r="H21" s="22">
        <f>Tabela4[[#This Row],[Custo total R$]]/Tabela4[[#This Row],[Preço por litro]]</f>
        <v>40.669449081803009</v>
      </c>
      <c r="I21" s="25">
        <v>90960</v>
      </c>
      <c r="J21" s="24">
        <v>320</v>
      </c>
    </row>
    <row r="22" spans="1:10" x14ac:dyDescent="0.3">
      <c r="A22" s="23">
        <v>45824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148</v>
      </c>
      <c r="F22" s="17">
        <v>259.56</v>
      </c>
      <c r="G22" s="17">
        <v>6.39</v>
      </c>
      <c r="H22" s="22">
        <f>Tabela4[[#This Row],[Custo total R$]]/Tabela4[[#This Row],[Preço por litro]]</f>
        <v>40.619718309859159</v>
      </c>
      <c r="I22" s="25">
        <v>91284</v>
      </c>
      <c r="J22" s="24">
        <v>324</v>
      </c>
    </row>
    <row r="23" spans="1:10" x14ac:dyDescent="0.3">
      <c r="A23" s="23">
        <v>45828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149</v>
      </c>
      <c r="F23" s="17">
        <v>266.08</v>
      </c>
      <c r="G23" s="17">
        <v>6.39</v>
      </c>
      <c r="H23" s="22">
        <f>Tabela4[[#This Row],[Custo total R$]]/Tabela4[[#This Row],[Preço por litro]]</f>
        <v>41.640062597809077</v>
      </c>
      <c r="I23" s="25">
        <v>91593</v>
      </c>
      <c r="J23" s="24">
        <v>309</v>
      </c>
    </row>
    <row r="24" spans="1:10" x14ac:dyDescent="0.3">
      <c r="A24" s="23">
        <v>45835</v>
      </c>
      <c r="B24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149</v>
      </c>
      <c r="F24" s="17">
        <v>266.52999999999997</v>
      </c>
      <c r="G24" s="17">
        <v>6.39</v>
      </c>
      <c r="H24" s="22">
        <f>Tabela4[[#This Row],[Custo total R$]]/Tabela4[[#This Row],[Preço por litro]]</f>
        <v>41.710485133020342</v>
      </c>
      <c r="I24" s="25">
        <v>91949</v>
      </c>
      <c r="J24" s="24">
        <f>I24-I23</f>
        <v>356</v>
      </c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7549F-C67A-4CB1-B921-111B39A3722C}"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31"/>
  <sheetViews>
    <sheetView showGridLines="0" tabSelected="1" workbookViewId="0">
      <pane ySplit="4" topLeftCell="A10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2">
        <v>7.9568649960678401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7" t="s">
        <v>102</v>
      </c>
      <c r="K13" s="106">
        <v>7.9568649960678401</v>
      </c>
    </row>
    <row r="14" spans="1:15" x14ac:dyDescent="0.3">
      <c r="A14" s="34"/>
      <c r="B14" s="34" t="s">
        <v>143</v>
      </c>
      <c r="C14" s="103">
        <v>45744</v>
      </c>
      <c r="D14" s="99">
        <v>100.01</v>
      </c>
      <c r="E14" s="104">
        <v>131</v>
      </c>
      <c r="F14" s="99">
        <v>0.76343511450381685</v>
      </c>
      <c r="G14" s="86">
        <v>7.9247075292470752</v>
      </c>
    </row>
    <row r="15" spans="1:15" x14ac:dyDescent="0.3">
      <c r="A15" s="34"/>
      <c r="B15" s="34"/>
      <c r="C15" s="103">
        <v>45753</v>
      </c>
      <c r="D15" s="99">
        <v>230.08</v>
      </c>
      <c r="E15" s="104">
        <v>305</v>
      </c>
      <c r="F15" s="99">
        <v>0.75436065573770494</v>
      </c>
      <c r="G15" s="86">
        <v>7.913986439499304</v>
      </c>
    </row>
    <row r="16" spans="1:15" x14ac:dyDescent="0.3">
      <c r="A16" s="34"/>
      <c r="B16" s="34"/>
      <c r="C16" s="103">
        <v>45756</v>
      </c>
      <c r="D16" s="99">
        <v>262.51</v>
      </c>
      <c r="E16" s="104">
        <v>347</v>
      </c>
      <c r="F16" s="99">
        <v>0.75651296829971182</v>
      </c>
      <c r="G16" s="86">
        <v>7.7592853605576932</v>
      </c>
    </row>
    <row r="17" spans="1:11" x14ac:dyDescent="0.3">
      <c r="A17" s="34"/>
      <c r="B17" s="34"/>
      <c r="C17" s="103">
        <v>45759</v>
      </c>
      <c r="D17" s="99">
        <v>249</v>
      </c>
      <c r="E17" s="104">
        <v>320</v>
      </c>
      <c r="F17" s="99">
        <v>0.77812499999999996</v>
      </c>
      <c r="G17" s="86">
        <v>7.697991967871487</v>
      </c>
    </row>
    <row r="18" spans="1:11" x14ac:dyDescent="0.3">
      <c r="A18" s="34"/>
      <c r="B18" s="34"/>
      <c r="C18" s="103">
        <v>45764</v>
      </c>
      <c r="D18" s="99">
        <v>264.92</v>
      </c>
      <c r="E18" s="104">
        <v>306</v>
      </c>
      <c r="F18" s="99">
        <v>0.86575163398692812</v>
      </c>
      <c r="G18" s="86">
        <v>7.4963762645326888</v>
      </c>
    </row>
    <row r="19" spans="1:11" x14ac:dyDescent="0.3">
      <c r="A19" s="34"/>
      <c r="B19" s="34"/>
      <c r="C19" s="103">
        <v>45770</v>
      </c>
      <c r="D19" s="99">
        <v>279.45999999999998</v>
      </c>
      <c r="E19" s="104">
        <v>359</v>
      </c>
      <c r="F19" s="99">
        <v>0.77844011142061276</v>
      </c>
      <c r="G19" s="86">
        <v>8.3371860015744659</v>
      </c>
    </row>
    <row r="20" spans="1:11" x14ac:dyDescent="0.3">
      <c r="A20" s="34"/>
      <c r="B20" s="34"/>
      <c r="C20" s="103">
        <v>45773</v>
      </c>
      <c r="D20" s="99">
        <v>257.47000000000003</v>
      </c>
      <c r="E20" s="104">
        <v>343</v>
      </c>
      <c r="F20" s="99">
        <v>0.75064139941690966</v>
      </c>
      <c r="G20" s="86">
        <v>7.9531984308851502</v>
      </c>
    </row>
    <row r="21" spans="1:11" x14ac:dyDescent="0.3">
      <c r="A21" s="34"/>
      <c r="B21" s="34"/>
      <c r="C21" s="103">
        <v>45780</v>
      </c>
      <c r="D21" s="99">
        <v>250.44</v>
      </c>
      <c r="E21" s="104">
        <v>337</v>
      </c>
      <c r="F21" s="99">
        <v>0.74314540059347178</v>
      </c>
      <c r="G21" s="86">
        <v>8.0334211787254439</v>
      </c>
    </row>
    <row r="22" spans="1:11" x14ac:dyDescent="0.3">
      <c r="A22" s="34"/>
      <c r="B22" s="34"/>
      <c r="C22" s="103">
        <v>45791</v>
      </c>
      <c r="D22" s="99">
        <v>253.15</v>
      </c>
      <c r="E22" s="104">
        <v>354</v>
      </c>
      <c r="F22" s="99">
        <v>0.71511299435028253</v>
      </c>
      <c r="G22" s="86">
        <v>8.2364605964842976</v>
      </c>
    </row>
    <row r="23" spans="1:11" x14ac:dyDescent="0.3">
      <c r="A23" s="34"/>
      <c r="B23" s="34"/>
      <c r="C23" s="103">
        <v>45794</v>
      </c>
      <c r="D23" s="99">
        <v>219.46</v>
      </c>
      <c r="E23" s="104">
        <v>304</v>
      </c>
      <c r="F23" s="99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103">
        <v>45799</v>
      </c>
      <c r="D24" s="99">
        <v>248.15</v>
      </c>
      <c r="E24" s="104">
        <v>304</v>
      </c>
      <c r="F24" s="99">
        <v>0.81628289473684212</v>
      </c>
      <c r="G24" s="86">
        <v>7.2156357042111612</v>
      </c>
      <c r="J24" s="52"/>
      <c r="K24" s="52"/>
    </row>
    <row r="25" spans="1:11" x14ac:dyDescent="0.3">
      <c r="A25" s="34"/>
      <c r="B25" s="34"/>
      <c r="C25" s="103">
        <v>45806</v>
      </c>
      <c r="D25" s="99">
        <v>249.84</v>
      </c>
      <c r="E25" s="104">
        <v>352</v>
      </c>
      <c r="F25" s="99">
        <v>0.70977272727272733</v>
      </c>
      <c r="G25" s="86">
        <v>8.4393211655459499</v>
      </c>
    </row>
    <row r="26" spans="1:11" x14ac:dyDescent="0.3">
      <c r="A26" s="34"/>
      <c r="B26" s="34"/>
      <c r="C26" s="103">
        <v>45812</v>
      </c>
      <c r="D26" s="99">
        <v>260.68</v>
      </c>
      <c r="E26" s="104">
        <v>360</v>
      </c>
      <c r="F26" s="99">
        <v>0.72411111111111115</v>
      </c>
      <c r="G26" s="86">
        <v>8.2722111400951359</v>
      </c>
    </row>
    <row r="27" spans="1:11" x14ac:dyDescent="0.3">
      <c r="B27" s="34"/>
      <c r="C27" s="103">
        <v>45818</v>
      </c>
      <c r="D27" s="99">
        <v>243.61</v>
      </c>
      <c r="E27" s="104">
        <v>320</v>
      </c>
      <c r="F27" s="99">
        <v>0.76128125000000002</v>
      </c>
      <c r="G27" s="86">
        <v>7.8683141086162305</v>
      </c>
    </row>
    <row r="28" spans="1:11" x14ac:dyDescent="0.3">
      <c r="B28" s="34"/>
      <c r="C28" s="103">
        <v>45824</v>
      </c>
      <c r="D28" s="99">
        <v>259.56</v>
      </c>
      <c r="E28" s="104">
        <v>324</v>
      </c>
      <c r="F28" s="99">
        <v>0.80111111111111111</v>
      </c>
      <c r="G28" s="86">
        <v>7.9764216366158101</v>
      </c>
    </row>
    <row r="29" spans="1:11" x14ac:dyDescent="0.3">
      <c r="B29" s="34"/>
      <c r="C29" s="103">
        <v>45828</v>
      </c>
      <c r="D29" s="99">
        <v>266.08</v>
      </c>
      <c r="E29" s="104">
        <v>309</v>
      </c>
      <c r="F29" s="99">
        <v>0.86110032362459543</v>
      </c>
      <c r="G29" s="86">
        <v>7.4207381238725194</v>
      </c>
    </row>
    <row r="30" spans="1:11" x14ac:dyDescent="0.3">
      <c r="B30" s="34"/>
      <c r="C30" s="103">
        <v>45835</v>
      </c>
      <c r="D30" s="99">
        <v>266.52999999999997</v>
      </c>
      <c r="E30" s="104">
        <v>356</v>
      </c>
      <c r="F30" s="99">
        <v>0.7486797752808988</v>
      </c>
      <c r="G30" s="86">
        <v>8.5350241999024501</v>
      </c>
    </row>
    <row r="31" spans="1:11" ht="15" thickBot="1" x14ac:dyDescent="0.35">
      <c r="B31" s="36" t="s">
        <v>102</v>
      </c>
      <c r="C31" s="37"/>
      <c r="D31" s="38">
        <v>4160.95</v>
      </c>
      <c r="E31" s="105">
        <v>5431</v>
      </c>
      <c r="F31" s="38">
        <v>0.76614803903516848</v>
      </c>
      <c r="G31" s="49">
        <v>7.9568649960678401</v>
      </c>
    </row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2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1" t="s">
        <v>28</v>
      </c>
      <c r="E11" s="101" t="s">
        <v>30</v>
      </c>
      <c r="F11" s="101" t="s">
        <v>125</v>
      </c>
      <c r="G11" s="101" t="s">
        <v>130</v>
      </c>
      <c r="H11" s="45" t="s">
        <v>107</v>
      </c>
      <c r="J11" s="11" t="s">
        <v>30</v>
      </c>
      <c r="K11" s="102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0">
        <v>4197</v>
      </c>
      <c r="E12" s="100">
        <v>60</v>
      </c>
      <c r="F12" s="100">
        <v>100</v>
      </c>
      <c r="G12" s="100">
        <v>95</v>
      </c>
      <c r="H12" s="76">
        <v>4452</v>
      </c>
      <c r="J12" s="11" t="s">
        <v>125</v>
      </c>
      <c r="K12" s="102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2">
        <v>95</v>
      </c>
    </row>
    <row r="14" spans="1:13" x14ac:dyDescent="0.3">
      <c r="J14" s="11" t="s">
        <v>102</v>
      </c>
      <c r="K14" s="102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103">
        <v>45748</v>
      </c>
      <c r="D15" s="108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54</vt:i4>
      </vt:variant>
    </vt:vector>
  </HeadingPairs>
  <TitlesOfParts>
    <vt:vector size="66" baseType="lpstr">
      <vt:lpstr>1. SOBRE</vt:lpstr>
      <vt:lpstr>2. CADASTRO DE VEÍCULOS</vt:lpstr>
      <vt:lpstr>3. CADASTROS GERAIS</vt:lpstr>
      <vt:lpstr>4. ABASTECIMENTOS</vt:lpstr>
      <vt:lpstr>Planilha1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2025-06-27T14:02:42Z</dcterms:modified>
  <cp:category/>
  <cp:contentStatus/>
</cp:coreProperties>
</file>
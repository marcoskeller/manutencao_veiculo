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BD9F96DF-92AB-43C1-B1DB-E2FBD68A4525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53" r:id="rId12"/>
    <pivotCache cacheId="60" r:id="rId13"/>
    <pivotCache cacheId="68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5" l="1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<sst xmlns="http://schemas.openxmlformats.org/spreadsheetml/2006/main" count="413" uniqueCount="144">
  <si>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</si>
  <si>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</si>
  <si>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</si>
  <si>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</si>
  <si>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</si>
  <si>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</si>
  <si>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</si>
  <si>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</si>
  <si>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</si>
  <si>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</si>
  <si>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</si>
  <si>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</si>
  <si>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</si>
  <si>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</si>
  <si>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</si>
  <si>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</si>
  <si>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</si>
  <si>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</si>
  <si>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</si>
  <si>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</si>
  <si>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</si>
  <si>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</si>
  <si>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</si>
  <si>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</si>
  <si>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</si>
  <si>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</si>
  <si>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</si>
  <si>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</si>
  <si>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</si>
  <si>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</si>
  <si>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</si>
  <si>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</si>
  <si>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</si>
  <si>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</si>
  <si>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</si>
  <si>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</si>
  <si>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</si>
  <si>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</si>
  <si>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</si>
  <si>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</si>
  <si>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</si>
  <si>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</si>
  <si>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</si>
  <si>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</si>
  <si>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</si>
  <si>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</si>
  <si>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</si>
  <si>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</si>
  <si>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</si>
  <si>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</si>
  <si>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</si>
  <si>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</si>
  <si>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</si>
  <si>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</si>
  <si>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</si>
  <si>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</si>
  <si>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</si>
  <si>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</si>
  <si>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</si>
  <si>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</si>
  <si>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</si>
  <si>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</si>
  <si>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</si>
  <si>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</si>
  <si>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</si>
  <si>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</si>
  <si>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</si>
  <si>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</si>
  <si>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</si>
  <si>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</si>
  <si>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</si>
  <si>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</si>
  <si>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</si>
  <si>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</si>
  <si>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</si>
  <si>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</si>
  <si>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</si>
  <si>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</si>
  <si>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</si>
  <si>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</si>
  <si>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</si>
  <si>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</si>
  <si>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</si>
  <si>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</si>
  <si>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</si>
  <si>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</si>
  <si>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</si>
  <si>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</si>
  <si>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</si>
  <si>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</si>
  <si>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</si>
  <si>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</si>
  <si>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</si>
  <si>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</si>
  <si>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</si>
  <si>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</si>
  <si>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</si>
  <si>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</si>
  <si>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</si>
  <si>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</si>
  <si>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</si>
  <si>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</si>
  <si>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</si>
  <si>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</si>
  <si>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</si>
  <si>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</si>
  <si>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</si>
  <si>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</si>
  <si>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</si>
  <si>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</si>
  <si>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</si>
  <si>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</si>
  <si>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</si>
  <si>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</si>
  <si>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</si>
  <si>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</si>
  <si>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</si>
  <si>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</si>
  <si>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</si>
  <si>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</si>
  <si>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</si>
  <si>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</si>
  <si>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</si>
  <si>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</si>
  <si>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</si>
  <si>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</si>
  <si>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</si>
  <si>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</si>
  <si>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</si>
  <si>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</si>
  <si>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</si>
  <si>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</si>
  <si>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</si>
  <si>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</si>
  <si>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</si>
  <si>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</si>
  <si>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</si>
  <si>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(Vários itens)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</si>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</sst>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8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2"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11.894322679317682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02314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25463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07T00:00:00" count="3">
        <d v="2025-03-28T00:00:00"/>
        <d v="2025-04-06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" maxValue="230.08"/>
    </cacheField>
    <cacheField name="Preço por litro" numFmtId="44">
      <sharedItems containsString="0" containsBlank="1" containsNumber="1" minValue="5.97" maxValue="6.05"/>
    </cacheField>
    <cacheField name="Litros abastecidos" numFmtId="4">
      <sharedItems containsString="0" containsBlank="1" containsNumber="1" minValue="16.528925619834713" maxValue="38.539363484087104"/>
    </cacheField>
    <cacheField name="Quilometragem do hodômetro (Km)" numFmtId="164">
      <sharedItems containsString="0" containsBlank="1" containsNumber="1" containsInteger="1" minValue="86823" maxValue="86954"/>
    </cacheField>
    <cacheField name="Km percorridos" numFmtId="164">
      <sharedItems containsString="0" containsBlank="1" containsNumber="1" containsInteger="1" minValue="131" maxValue="524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4861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"/>
    <n v="6.05"/>
    <n v="16.528925619834713"/>
    <n v="86823"/>
    <n v="131"/>
  </r>
  <r>
    <x v="1"/>
    <x v="0"/>
    <x v="0"/>
    <x v="0"/>
    <s v="Gasolina Aditivada Petrobras Grid"/>
    <n v="230.08"/>
    <n v="5.97"/>
    <n v="38.539363484087104"/>
    <n v="86954"/>
    <n v="524"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6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4">
        <item x="0"/>
        <item h="1" x="2"/>
        <item x="1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60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6" firstHeaderRow="1" firstDataRow="2" firstDataCol="2"/>
  <pivotFields count="12">
    <pivotField axis="axisRow" compact="0" numFmtId="14" outline="0" showAll="0">
      <items count="4">
        <item x="0"/>
        <item x="2"/>
        <item x="1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3">
    <i>
      <x/>
      <x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68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0">
      <pivotArea type="all" dataOnly="0" outline="0" fieldPosition="0"/>
    </format>
    <format dxfId="19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1" count="0"/>
        </references>
      </pivotArea>
    </format>
    <format dxfId="17">
      <pivotArea dataOnly="0" labelOnly="1" outline="0" fieldPosition="0">
        <references count="1">
          <reference field="5" count="0"/>
        </references>
      </pivotArea>
    </format>
    <format dxfId="16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6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53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1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0"/>
    <tableColumn id="2" xr3:uid="{00000000-0010-0000-0000-000002000000}" name="Modelo" dataDxfId="49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48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47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46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5">
  <autoFilter ref="A7:J27" xr:uid="{00000000-0009-0000-0100-000009000000}"/>
  <tableColumns count="10">
    <tableColumn id="1" xr3:uid="{00000000-0010-0000-0500-000001000000}" name="Data" dataDxfId="44"/>
    <tableColumn id="2" xr3:uid="{00000000-0010-0000-0500-000002000000}" name="Placa"/>
    <tableColumn id="3" xr3:uid="{00000000-0010-0000-0500-000003000000}" name="Modelo" dataDxfId="43">
      <calculatedColumnFormula>IFERROR(VLOOKUP(B8,'2. CADASTRO DE VEÍCULOS'!B:D,3,0),"")</calculatedColumnFormula>
    </tableColumn>
    <tableColumn id="11" xr3:uid="{00000000-0010-0000-0500-00000B000000}" name="Fabricante" dataDxfId="42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1"/>
    <tableColumn id="6" xr3:uid="{00000000-0010-0000-0500-000006000000}" name="Preço por litro" dataCellStyle="Moeda"/>
    <tableColumn id="10" xr3:uid="{00000000-0010-0000-0500-00000A000000}" name="Litros abastecidos" dataDxfId="40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9" dataCellStyle="Vírgula"/>
    <tableColumn id="7" xr3:uid="{00000000-0010-0000-0500-000007000000}" name="Km percorridos" dataDxfId="38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7">
  <autoFilter ref="A7:I60" xr:uid="{00000000-0009-0000-0100-00000A000000}"/>
  <tableColumns count="9">
    <tableColumn id="1" xr3:uid="{00000000-0010-0000-0600-000001000000}" name="Data" dataDxfId="36"/>
    <tableColumn id="7" xr3:uid="{00000000-0010-0000-0600-000007000000}" name="Placa" dataDxfId="35"/>
    <tableColumn id="6" xr3:uid="{00000000-0010-0000-0600-000006000000}" name="Modelo" dataDxfId="34">
      <calculatedColumnFormula>IFERROR(VLOOKUP(B8,'2. CADASTRO DE VEÍCULOS'!B:D,3,0),"")</calculatedColumnFormula>
    </tableColumn>
    <tableColumn id="8" xr3:uid="{00000000-0010-0000-0600-000008000000}" name="Fabricante" dataDxfId="33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2">
  <autoFilter ref="A7:M11" xr:uid="{00000000-0009-0000-0100-00000B000000}"/>
  <tableColumns count="13">
    <tableColumn id="1" xr3:uid="{00000000-0010-0000-0700-000001000000}" name="Data" dataDxfId="31"/>
    <tableColumn id="13" xr3:uid="{00000000-0010-0000-0700-00000D000000}" name="Placa" dataDxfId="30"/>
    <tableColumn id="12" xr3:uid="{00000000-0010-0000-0700-00000C000000}" name="Modelo" dataDxfId="29">
      <calculatedColumnFormula>IFERROR(VLOOKUP(B8,'2. CADASTRO DE VEÍCULOS'!B:D,3,0),"")</calculatedColumnFormula>
    </tableColumn>
    <tableColumn id="11" xr3:uid="{00000000-0010-0000-0700-00000B000000}" name="Fabricante" dataDxfId="28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7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26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4" tableBorderDxfId="13">
  <autoFilter ref="G9:L19" xr:uid="{00000000-0009-0000-0100-00000C000000}"/>
  <tableColumns count="6">
    <tableColumn id="1" xr3:uid="{00000000-0010-0000-0800-000001000000}" name="Placa" dataDxfId="12"/>
    <tableColumn id="2" xr3:uid="{00000000-0010-0000-0800-000002000000}" name="Fabricante" dataDxfId="11"/>
    <tableColumn id="3" xr3:uid="{00000000-0010-0000-0800-000003000000}" name="Modelo" dataDxfId="10"/>
    <tableColumn id="4" xr3:uid="{00000000-0010-0000-0800-000004000000}" name="Últ. Abast." dataDxfId="9">
      <calculatedColumnFormula array="1">IFERROR(LARGE(IF(G10=Tabela4[Placa],Tabela4[Quilometragem do hodômetro (Km)]),1),0)</calculatedColumnFormula>
    </tableColumn>
    <tableColumn id="5" xr3:uid="{00000000-0010-0000-0800-000005000000}" name="Próx. Troca" dataDxfId="8">
      <calculatedColumnFormula array="1">IFERROR(LARGE(IF(G10=Tabela9[Placa],Tabela9[Próxima troca (Km)]),1),0)</calculatedColumnFormula>
    </tableColumn>
    <tableColumn id="6" xr3:uid="{00000000-0010-0000-0800-000006000000}" name="Alerta" dataDxfId="7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6">
  <autoFilter ref="A7:M11" xr:uid="{00000000-0009-0000-0100-00000B000000}"/>
  <tableColumns count="13">
    <tableColumn id="1" xr3:uid="{D52E3B5A-FAE9-4EB9-93B5-377852A545D6}" name="Data" dataDxfId="5"/>
    <tableColumn id="13" xr3:uid="{A65D354E-904C-4772-9F70-6B35C810542F}" name="Placa" dataDxfId="4"/>
    <tableColumn id="12" xr3:uid="{977B0B84-7580-4185-A977-3196000F9C98}" name="Modelo" dataDxfId="3">
      <calculatedColumnFormula>IFERROR(VLOOKUP(B8,'2. CADASTRO DE VEÍCULOS'!B:D,3,0),"")</calculatedColumnFormula>
    </tableColumn>
    <tableColumn id="11" xr3:uid="{1F4E373B-AB4B-499C-9750-7D7A08E4F593}" name="Fabricante" dataDxfId="2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0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138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143</v>
      </c>
    </row>
    <row r="27" spans="1:4" x14ac:dyDescent="0.3">
      <c r="A27" t="s">
        <v>139</v>
      </c>
    </row>
    <row r="28" spans="1:4" x14ac:dyDescent="0.3">
      <c r="A28" t="s">
        <v>140</v>
      </c>
    </row>
    <row r="29" spans="1:4" x14ac:dyDescent="0.3">
      <c r="A29" t="s">
        <v>142</v>
      </c>
    </row>
    <row r="30" spans="1:4" x14ac:dyDescent="0.3">
      <c r="A30" t="s">
        <v>141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workbookViewId="0">
      <pane ySplit="4" topLeftCell="A5" activePane="bottomLeft" state="frozen"/>
      <selection pane="bottomLeft" activeCell="E12" sqref="E12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5" width="23" customWidth="1"/>
    <col min="6" max="6" width="21.6640625" customWidth="1"/>
    <col min="7" max="7" width="28.5546875" customWidth="1"/>
    <col min="8" max="8" width="21.33203125" customWidth="1"/>
    <col min="9" max="9" width="35.88671875" bestFit="1" customWidth="1"/>
    <col min="10" max="10" width="19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138</v>
      </c>
      <c r="F8" s="17">
        <v>100</v>
      </c>
      <c r="G8" s="17">
        <v>6.05</v>
      </c>
      <c r="H8" s="22">
        <f>Tabela4[[#This Row],[Custo total R$]]/Tabela4[[#This Row],[Preço por litro]]</f>
        <v>16.528925619834713</v>
      </c>
      <c r="I8" s="25">
        <v>86823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143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524</v>
      </c>
    </row>
    <row r="10" spans="1:13" x14ac:dyDescent="0.3">
      <c r="A10" s="23"/>
      <c r="C10" s="21"/>
      <c r="D10" s="16"/>
      <c r="F10" s="17"/>
      <c r="G10" s="17"/>
      <c r="H10" s="22"/>
      <c r="I10" s="25"/>
      <c r="J10" s="24"/>
    </row>
    <row r="11" spans="1:13" x14ac:dyDescent="0.3">
      <c r="A11" s="23"/>
      <c r="C11" s="21"/>
      <c r="D11" s="16"/>
      <c r="F11" s="17"/>
      <c r="G11" s="17"/>
      <c r="H11" s="22"/>
      <c r="I11" s="25"/>
      <c r="J11" s="24"/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7" t="s">
        <v>1</v>
      </c>
      <c r="C2" s="88"/>
      <c r="D2" s="88"/>
      <c r="E2" s="88"/>
      <c r="F2" s="88"/>
    </row>
    <row r="3" spans="1:13" ht="32.25" customHeight="1" x14ac:dyDescent="0.3">
      <c r="B3" s="89"/>
      <c r="C3" s="89"/>
      <c r="D3" s="89"/>
      <c r="E3" s="89"/>
      <c r="F3" s="89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0" t="s">
        <v>1</v>
      </c>
      <c r="E2" s="90"/>
      <c r="F2" s="90"/>
      <c r="G2" s="90"/>
      <c r="H2" s="90"/>
      <c r="I2" s="90"/>
      <c r="J2" s="90"/>
      <c r="K2" s="90"/>
    </row>
    <row r="3" spans="1:15" ht="32.25" customHeight="1" x14ac:dyDescent="0.3">
      <c r="D3" s="90"/>
      <c r="E3" s="90"/>
      <c r="F3" s="90"/>
      <c r="G3" s="90"/>
      <c r="H3" s="90"/>
      <c r="I3" s="90"/>
      <c r="J3" s="90"/>
      <c r="K3" s="90"/>
    </row>
    <row r="4" spans="1:15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137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0">
        <v>11.894322679317682</v>
      </c>
    </row>
    <row r="13" spans="1:15" x14ac:dyDescent="0.3">
      <c r="A13" s="34"/>
      <c r="B13" s="40" t="s">
        <v>13</v>
      </c>
      <c r="C13" s="96" t="s">
        <v>42</v>
      </c>
      <c r="D13" s="97" t="s">
        <v>98</v>
      </c>
      <c r="E13" s="97" t="s">
        <v>99</v>
      </c>
      <c r="F13" s="97" t="s">
        <v>100</v>
      </c>
      <c r="G13" s="35" t="s">
        <v>101</v>
      </c>
      <c r="J13" s="102" t="s">
        <v>102</v>
      </c>
      <c r="K13" s="101">
        <v>11.894322679317682</v>
      </c>
    </row>
    <row r="14" spans="1:15" x14ac:dyDescent="0.3">
      <c r="A14" s="34"/>
      <c r="B14" s="34" t="s">
        <v>18</v>
      </c>
      <c r="C14" s="98">
        <v>45744</v>
      </c>
      <c r="D14" s="103">
        <v>100</v>
      </c>
      <c r="E14" s="104">
        <v>131</v>
      </c>
      <c r="F14" s="103">
        <v>0.76335877862595425</v>
      </c>
      <c r="G14" s="49">
        <v>7.9254999999999995</v>
      </c>
    </row>
    <row r="15" spans="1:15" x14ac:dyDescent="0.3">
      <c r="A15" s="34"/>
      <c r="B15" s="34"/>
      <c r="C15" s="98">
        <v>45753</v>
      </c>
      <c r="D15" s="103">
        <v>230.08</v>
      </c>
      <c r="E15" s="104">
        <v>524</v>
      </c>
      <c r="F15" s="103">
        <v>0.43908396946564887</v>
      </c>
      <c r="G15" s="49">
        <v>13.596488178025034</v>
      </c>
    </row>
    <row r="16" spans="1:15" ht="15" thickBot="1" x14ac:dyDescent="0.35">
      <c r="A16" s="34"/>
      <c r="B16" s="36" t="s">
        <v>102</v>
      </c>
      <c r="C16" s="37"/>
      <c r="D16" s="38">
        <v>330.08000000000004</v>
      </c>
      <c r="E16" s="105">
        <v>655</v>
      </c>
      <c r="F16" s="38">
        <v>0.50393893129770995</v>
      </c>
      <c r="G16" s="50">
        <v>11.894322679317682</v>
      </c>
    </row>
    <row r="17" spans="1:11" x14ac:dyDescent="0.3">
      <c r="A17" s="34"/>
    </row>
    <row r="18" spans="1:11" x14ac:dyDescent="0.3">
      <c r="A18" s="34"/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7" t="s">
        <v>1</v>
      </c>
      <c r="E2" s="88"/>
      <c r="F2" s="88"/>
      <c r="G2" s="88"/>
      <c r="H2" s="88"/>
      <c r="I2" s="88"/>
      <c r="J2" s="88"/>
    </row>
    <row r="3" spans="1:13" ht="32.25" customHeight="1" x14ac:dyDescent="0.3">
      <c r="D3" s="88"/>
      <c r="E3" s="88"/>
      <c r="F3" s="88"/>
      <c r="G3" s="88"/>
      <c r="H3" s="88"/>
      <c r="I3" s="88"/>
      <c r="J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0">
        <v>4197</v>
      </c>
    </row>
    <row r="11" spans="1:13" x14ac:dyDescent="0.3">
      <c r="A11" s="40" t="s">
        <v>13</v>
      </c>
      <c r="B11" s="96" t="s">
        <v>15</v>
      </c>
      <c r="C11" s="96" t="s">
        <v>14</v>
      </c>
      <c r="D11" s="107" t="s">
        <v>28</v>
      </c>
      <c r="E11" s="107" t="s">
        <v>30</v>
      </c>
      <c r="F11" s="107" t="s">
        <v>125</v>
      </c>
      <c r="G11" s="107" t="s">
        <v>130</v>
      </c>
      <c r="H11" s="45" t="s">
        <v>107</v>
      </c>
      <c r="J11" s="11" t="s">
        <v>30</v>
      </c>
      <c r="K11" s="100">
        <v>60</v>
      </c>
    </row>
    <row r="12" spans="1:13" x14ac:dyDescent="0.3">
      <c r="A12" s="46" t="s">
        <v>18</v>
      </c>
      <c r="B12" s="97" t="s">
        <v>20</v>
      </c>
      <c r="C12" s="97" t="s">
        <v>19</v>
      </c>
      <c r="D12" s="106">
        <v>4197</v>
      </c>
      <c r="E12" s="106">
        <v>60</v>
      </c>
      <c r="F12" s="106">
        <v>100</v>
      </c>
      <c r="G12" s="106">
        <v>95</v>
      </c>
      <c r="H12" s="77">
        <v>4452</v>
      </c>
      <c r="J12" s="11" t="s">
        <v>125</v>
      </c>
      <c r="K12" s="100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0">
        <v>95</v>
      </c>
    </row>
    <row r="14" spans="1:13" x14ac:dyDescent="0.3">
      <c r="J14" s="11" t="s">
        <v>102</v>
      </c>
      <c r="K14" s="100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7" t="s">
        <v>1</v>
      </c>
      <c r="D2" s="88"/>
      <c r="E2" s="88"/>
      <c r="F2" s="88"/>
      <c r="G2" s="88"/>
      <c r="H2" s="88"/>
    </row>
    <row r="3" spans="1:13" ht="32.25" customHeight="1" x14ac:dyDescent="0.3">
      <c r="C3" s="88"/>
      <c r="D3" s="88"/>
      <c r="E3" s="88"/>
      <c r="F3" s="88"/>
      <c r="G3" s="88"/>
      <c r="H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96" t="s">
        <v>42</v>
      </c>
      <c r="D14" s="97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98">
        <v>45748</v>
      </c>
      <c r="D15" s="99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5" t="s">
        <v>121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2025-04-07T02:32:26Z</dcterms:modified>
  <cp:category/>
  <cp:contentStatus/>
</cp:coreProperties>
</file>
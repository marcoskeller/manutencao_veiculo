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4A657EFD-5CB8-4F2B-BC93-25BF41E6E8C1}" xr6:coauthVersionLast="47" xr6:coauthVersionMax="47" xr10:uidLastSave="{00000000-0000-0000-0000-000000000000}"/>
  <bookViews>
    <workbookView xWindow="-108" yWindow="-108" windowWidth="23256" windowHeight="12576" tabRatio="840" firstSheet="3" activeTab="9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75" r:id="rId12"/>
    <pivotCache cacheId="82" r:id="rId13"/>
    <pivotCache cacheId="90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5" l="1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<sst xmlns="http://schemas.openxmlformats.org/spreadsheetml/2006/main" count="420" uniqueCount="145">
  <si>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</si>
  <si>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</si>
  <si>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</si>
  <si>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</si>
  <si>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</si>
  <si>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</si>
  <si>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</si>
  <si>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</si>
  <si>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</si>
  <si>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</si>
  <si>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</si>
  <si>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</si>
  <si>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</si>
  <si>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</si>
  <si>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</si>
  <si>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</si>
  <si>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</si>
  <si>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</si>
  <si>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</si>
  <si>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</si>
  <si>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</si>
  <si>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</si>
  <si>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</si>
  <si>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</si>
  <si>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</si>
  <si>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</si>
  <si>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</si>
  <si>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</si>
  <si>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</si>
  <si>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</si>
  <si>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</si>
  <si>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</si>
  <si>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</si>
  <si>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</si>
  <si>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</si>
  <si>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</si>
  <si>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</si>
  <si>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</si>
  <si>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</si>
  <si>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</si>
  <si>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</si>
  <si>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</si>
  <si>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</si>
  <si>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</si>
  <si>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</si>
  <si>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</si>
  <si>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</si>
  <si>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</si>
  <si>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</si>
  <si>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</si>
  <si>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</si>
  <si>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</si>
  <si>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</si>
  <si>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</si>
  <si>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</si>
  <si>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</si>
  <si>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</si>
  <si>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</si>
  <si>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</si>
  <si>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</si>
  <si>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</si>
  <si>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</si>
  <si>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</si>
  <si>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</si>
  <si>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</si>
  <si>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</si>
  <si>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</si>
  <si>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</si>
  <si>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</si>
  <si>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</si>
  <si>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</si>
  <si>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</si>
  <si>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</si>
  <si>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</si>
  <si>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</si>
  <si>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</si>
  <si>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</si>
  <si>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</si>
  <si>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</si>
  <si>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</si>
  <si>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</si>
  <si>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</si>
  <si>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</si>
  <si>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</si>
  <si>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</si>
  <si>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</si>
  <si>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</si>
  <si>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</si>
  <si>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</si>
  <si>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</si>
  <si>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</si>
  <si>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</si>
  <si>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</si>
  <si>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</si>
  <si>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</si>
  <si>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</si>
  <si>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</si>
  <si>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</si>
  <si>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</si>
  <si>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</si>
  <si>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</si>
  <si>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</si>
  <si>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</si>
  <si>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</si>
  <si>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</si>
  <si>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</si>
  <si>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</si>
  <si>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</si>
  <si>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</si>
  <si>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</si>
  <si>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</si>
  <si>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</si>
  <si>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</si>
  <si>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</si>
  <si>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</si>
  <si>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</si>
  <si>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</si>
  <si>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</si>
  <si>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</si>
  <si>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</si>
  <si>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</si>
  <si>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</si>
  <si>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</si>
  <si>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</si>
  <si>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</si>
  <si>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</si>
  <si>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</si>
  <si>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</si>
  <si>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</si>
  <si>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</si>
  <si>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</si>
  <si>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</si>
  <si>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</si>
  <si>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</si>
  <si>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</si>
  <si>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</si>
  <si>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</si>
  <si>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</si>
  <si>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</si>
  <si>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</si>
  <si>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Posto Amigo 7</t>
  </si>
  <si>
    <t>Gasolina Aditivada Shell Power</t>
  </si>
  <si>
    <t>Gasolina Aditivada Petrobras Grid</t>
  </si>
  <si>
    <t>(Vários itens)</t>
  </si>
  <si>
    <t>OXB4E64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</si>
</sst>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5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7.7341277992267567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4.666571180554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4">
        <s v="OXB4E64"/>
        <m/>
        <s v="CITY SEDAN EX 1.5 FLEX 16V 4P AUTOMATICO"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4.666571412039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18T00:00:00" count="6">
        <d v="2025-03-28T00:00:00"/>
        <d v="2025-04-06T00:00:00"/>
        <d v="2025-04-09T00:00:00"/>
        <d v="2025-04-12T00:00:00"/>
        <d v="2025-04-17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64.92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7927"/>
    </cacheField>
    <cacheField name="Km percorridos" numFmtId="164">
      <sharedItems containsString="0" containsBlank="1" containsNumber="1" containsInteger="1" minValue="131" maxValue="347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64.666571643516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  <r>
    <x v="5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82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4" firstHeaderRow="1" firstDataRow="2" firstDataCol="2"/>
  <pivotFields count="12">
    <pivotField axis="axisRow" compact="0" numFmtId="14" outline="0" showAll="0">
      <items count="7">
        <item x="0"/>
        <item x="5"/>
        <item x="1"/>
        <item x="2"/>
        <item x="3"/>
        <item x="4"/>
        <item t="default"/>
      </items>
    </pivotField>
    <pivotField axis="axisRow" compact="0" outline="0" multipleItemSelectionAllowed="1" showAll="0" defaultSubtotal="0">
      <items count="3">
        <item m="1" x="2"/>
        <item h="1" x="1"/>
        <item h="1"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8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7">
        <item x="0"/>
        <item h="1" x="5"/>
        <item x="1"/>
        <item x="2"/>
        <item x="3"/>
        <item x="4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90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90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75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4">
        <item h="1" m="1" x="3"/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 nd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4">
        <i x="0" s="1"/>
        <i x="3" nd="1"/>
        <i x="2" nd="1"/>
        <i x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4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3"/>
    <tableColumn id="2" xr3:uid="{00000000-0010-0000-0000-000002000000}" name="Modelo" dataDxfId="52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0" totalsRowShown="0" headerRowDxfId="51">
  <autoFilter ref="A23:A30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0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49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8">
  <autoFilter ref="A7:J27" xr:uid="{00000000-0009-0000-0100-000009000000}"/>
  <tableColumns count="10">
    <tableColumn id="1" xr3:uid="{00000000-0010-0000-0500-000001000000}" name="Data" dataDxfId="47"/>
    <tableColumn id="2" xr3:uid="{00000000-0010-0000-0500-000002000000}" name="Placa"/>
    <tableColumn id="3" xr3:uid="{00000000-0010-0000-0500-000003000000}" name="Modelo" dataDxfId="46">
      <calculatedColumnFormula>IFERROR(VLOOKUP(B8,'2. CADASTRO DE VEÍCULOS'!B:D,3,0),"")</calculatedColumnFormula>
    </tableColumn>
    <tableColumn id="11" xr3:uid="{00000000-0010-0000-0500-00000B000000}" name="Fabricante" dataDxfId="45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4"/>
    <tableColumn id="6" xr3:uid="{00000000-0010-0000-0500-000006000000}" name="Preço por litro" dataCellStyle="Moeda"/>
    <tableColumn id="10" xr3:uid="{00000000-0010-0000-0500-00000A000000}" name="Litros abastecidos" dataDxfId="43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2" dataCellStyle="Vírgula"/>
    <tableColumn id="7" xr3:uid="{00000000-0010-0000-0500-000007000000}" name="Km percorridos" dataDxfId="41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0">
  <autoFilter ref="A7:I60" xr:uid="{00000000-0009-0000-0100-00000A000000}"/>
  <tableColumns count="9">
    <tableColumn id="1" xr3:uid="{00000000-0010-0000-0600-000001000000}" name="Data" dataDxfId="39"/>
    <tableColumn id="7" xr3:uid="{00000000-0010-0000-0600-000007000000}" name="Placa" dataDxfId="38"/>
    <tableColumn id="6" xr3:uid="{00000000-0010-0000-0600-000006000000}" name="Modelo" dataDxfId="37">
      <calculatedColumnFormula>IFERROR(VLOOKUP(B8,'2. CADASTRO DE VEÍCULOS'!B:D,3,0),"")</calculatedColumnFormula>
    </tableColumn>
    <tableColumn id="8" xr3:uid="{00000000-0010-0000-0600-000008000000}" name="Fabricante" dataDxfId="36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5">
  <autoFilter ref="A7:M11" xr:uid="{00000000-0009-0000-0100-00000B000000}"/>
  <tableColumns count="13">
    <tableColumn id="1" xr3:uid="{00000000-0010-0000-0700-000001000000}" name="Data" dataDxfId="34"/>
    <tableColumn id="13" xr3:uid="{00000000-0010-0000-0700-00000D000000}" name="Placa" dataDxfId="33"/>
    <tableColumn id="12" xr3:uid="{00000000-0010-0000-0700-00000C000000}" name="Modelo" dataDxfId="32">
      <calculatedColumnFormula>IFERROR(VLOOKUP(B8,'2. CADASTRO DE VEÍCULOS'!B:D,3,0),"")</calculatedColumnFormula>
    </tableColumn>
    <tableColumn id="11" xr3:uid="{00000000-0010-0000-0700-00000B000000}" name="Fabricante" dataDxfId="3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144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0"/>
  <sheetViews>
    <sheetView showGridLines="0" workbookViewId="0">
      <pane ySplit="4" topLeftCell="A8" activePane="bottomLeft" state="frozen"/>
      <selection pane="bottomLeft" activeCell="A27" sqref="A27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142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141</v>
      </c>
    </row>
    <row r="30" spans="1:4" x14ac:dyDescent="0.3">
      <c r="A30" t="s">
        <v>140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workbookViewId="0">
      <pane ySplit="4" topLeftCell="A5" activePane="bottomLeft" state="frozen"/>
      <selection pane="bottomLeft" activeCell="B8" sqref="B8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144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144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142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144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144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144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/>
      <c r="C13" s="21"/>
      <c r="D13" s="16"/>
      <c r="F13" s="17"/>
      <c r="G13" s="17"/>
      <c r="H13" s="22"/>
      <c r="I13" s="25"/>
      <c r="J13" s="24"/>
    </row>
    <row r="14" spans="1:13" x14ac:dyDescent="0.3">
      <c r="A14" s="23"/>
      <c r="C14" s="21"/>
      <c r="D14" s="16"/>
      <c r="F14" s="17"/>
      <c r="G14" s="17"/>
      <c r="H14" s="22"/>
      <c r="I14" s="25"/>
      <c r="J14" s="24"/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5" activePane="bottomLeft" state="frozen"/>
      <selection pane="bottomLeft" activeCell="B8" sqref="B8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144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144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144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144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144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144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144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144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144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144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144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144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144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144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144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144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144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144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144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144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144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144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144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144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144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144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144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144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144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workbookViewId="0">
      <pane ySplit="4" topLeftCell="A5" activePane="bottomLeft" state="frozen"/>
      <selection pane="bottomLeft" activeCell="D10" sqref="D10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18</v>
      </c>
      <c r="C8" s="81" t="s">
        <v>144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8: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8:C9 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6" t="s">
        <v>1</v>
      </c>
      <c r="C2" s="87"/>
      <c r="D2" s="87"/>
      <c r="E2" s="87"/>
      <c r="F2" s="87"/>
    </row>
    <row r="3" spans="1:13" ht="32.25" customHeight="1" x14ac:dyDescent="0.3">
      <c r="B3" s="88"/>
      <c r="C3" s="88"/>
      <c r="D3" s="88"/>
      <c r="E3" s="88"/>
      <c r="F3" s="88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89" t="s">
        <v>1</v>
      </c>
      <c r="E2" s="89"/>
      <c r="F2" s="89"/>
      <c r="G2" s="89"/>
      <c r="H2" s="89"/>
      <c r="I2" s="89"/>
      <c r="J2" s="89"/>
      <c r="K2" s="89"/>
    </row>
    <row r="3" spans="1:15" ht="32.25" customHeight="1" x14ac:dyDescent="0.3">
      <c r="D3" s="89"/>
      <c r="E3" s="89"/>
      <c r="F3" s="89"/>
      <c r="G3" s="89"/>
      <c r="H3" s="89"/>
      <c r="I3" s="89"/>
      <c r="J3" s="89"/>
      <c r="K3" s="89"/>
    </row>
    <row r="4" spans="1:15" ht="23.25" customHeight="1" x14ac:dyDescent="0.3">
      <c r="A4" s="8" t="s">
        <v>2</v>
      </c>
      <c r="B4" s="90" t="s">
        <v>3</v>
      </c>
      <c r="C4" s="91"/>
      <c r="D4" s="90" t="s">
        <v>4</v>
      </c>
      <c r="E4" s="91"/>
      <c r="F4" s="90" t="s">
        <v>5</v>
      </c>
      <c r="G4" s="91"/>
      <c r="H4" s="92" t="s">
        <v>6</v>
      </c>
      <c r="I4" s="93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143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99">
        <v>7.7341277992267567</v>
      </c>
    </row>
    <row r="13" spans="1:15" x14ac:dyDescent="0.3">
      <c r="A13" s="34"/>
      <c r="B13" s="40" t="s">
        <v>13</v>
      </c>
      <c r="C13" s="95" t="s">
        <v>42</v>
      </c>
      <c r="D13" s="96" t="s">
        <v>98</v>
      </c>
      <c r="E13" s="96" t="s">
        <v>99</v>
      </c>
      <c r="F13" s="96" t="s">
        <v>100</v>
      </c>
      <c r="G13" s="35" t="s">
        <v>101</v>
      </c>
      <c r="J13" s="103" t="s">
        <v>102</v>
      </c>
      <c r="K13" s="102">
        <v>7.7341277992267567</v>
      </c>
    </row>
    <row r="14" spans="1:15" ht="15" thickBot="1" x14ac:dyDescent="0.35">
      <c r="A14" s="34"/>
      <c r="B14" s="36" t="s">
        <v>102</v>
      </c>
      <c r="C14" s="37"/>
      <c r="D14" s="38"/>
      <c r="E14" s="101"/>
      <c r="F14" s="38" t="e">
        <v>#DIV/0!</v>
      </c>
      <c r="G14" s="49" t="e">
        <v>#DIV/0!</v>
      </c>
    </row>
    <row r="15" spans="1:15" x14ac:dyDescent="0.3">
      <c r="A15" s="34"/>
    </row>
    <row r="16" spans="1:15" x14ac:dyDescent="0.3">
      <c r="A16" s="34"/>
    </row>
    <row r="17" spans="1:11" x14ac:dyDescent="0.3">
      <c r="A17" s="34"/>
    </row>
    <row r="18" spans="1:11" x14ac:dyDescent="0.3">
      <c r="A18" s="34"/>
    </row>
    <row r="19" spans="1:11" ht="15" thickBot="1" x14ac:dyDescent="0.35">
      <c r="A19" s="34"/>
    </row>
    <row r="20" spans="1:11" x14ac:dyDescent="0.3">
      <c r="A20" s="34"/>
    </row>
    <row r="21" spans="1:11" x14ac:dyDescent="0.3">
      <c r="A21" s="34"/>
    </row>
    <row r="22" spans="1:11" x14ac:dyDescent="0.3">
      <c r="A22" s="34"/>
    </row>
    <row r="23" spans="1:11" x14ac:dyDescent="0.3">
      <c r="A23" s="34"/>
      <c r="J23" s="52"/>
      <c r="K23" s="52"/>
    </row>
    <row r="24" spans="1:11" x14ac:dyDescent="0.3">
      <c r="A24" s="34"/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6" t="s">
        <v>1</v>
      </c>
      <c r="E2" s="87"/>
      <c r="F2" s="87"/>
      <c r="G2" s="87"/>
      <c r="H2" s="87"/>
      <c r="I2" s="87"/>
      <c r="J2" s="87"/>
    </row>
    <row r="3" spans="1:13" ht="32.25" customHeight="1" x14ac:dyDescent="0.3">
      <c r="D3" s="87"/>
      <c r="E3" s="87"/>
      <c r="F3" s="87"/>
      <c r="G3" s="87"/>
      <c r="H3" s="87"/>
      <c r="I3" s="87"/>
      <c r="J3" s="87"/>
    </row>
    <row r="4" spans="1:13" ht="23.25" customHeight="1" x14ac:dyDescent="0.3">
      <c r="A4" s="8" t="s">
        <v>2</v>
      </c>
      <c r="B4" s="90" t="s">
        <v>3</v>
      </c>
      <c r="C4" s="91"/>
      <c r="D4" s="90" t="s">
        <v>4</v>
      </c>
      <c r="E4" s="91"/>
      <c r="F4" s="90" t="s">
        <v>5</v>
      </c>
      <c r="G4" s="91"/>
      <c r="H4" s="92" t="s">
        <v>6</v>
      </c>
      <c r="I4" s="93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99">
        <v>4197</v>
      </c>
    </row>
    <row r="11" spans="1:13" x14ac:dyDescent="0.3">
      <c r="A11" s="40" t="s">
        <v>13</v>
      </c>
      <c r="B11" s="95" t="s">
        <v>15</v>
      </c>
      <c r="C11" s="95" t="s">
        <v>14</v>
      </c>
      <c r="D11" s="98" t="s">
        <v>28</v>
      </c>
      <c r="E11" s="98" t="s">
        <v>30</v>
      </c>
      <c r="F11" s="98" t="s">
        <v>125</v>
      </c>
      <c r="G11" s="98" t="s">
        <v>130</v>
      </c>
      <c r="H11" s="45" t="s">
        <v>107</v>
      </c>
      <c r="J11" s="11" t="s">
        <v>30</v>
      </c>
      <c r="K11" s="99">
        <v>60</v>
      </c>
    </row>
    <row r="12" spans="1:13" x14ac:dyDescent="0.3">
      <c r="A12" s="46" t="s">
        <v>144</v>
      </c>
      <c r="B12" s="96" t="s">
        <v>20</v>
      </c>
      <c r="C12" s="96" t="s">
        <v>19</v>
      </c>
      <c r="D12" s="97">
        <v>4197</v>
      </c>
      <c r="E12" s="97">
        <v>60</v>
      </c>
      <c r="F12" s="97">
        <v>100</v>
      </c>
      <c r="G12" s="97">
        <v>95</v>
      </c>
      <c r="H12" s="76">
        <v>4452</v>
      </c>
      <c r="J12" s="11" t="s">
        <v>125</v>
      </c>
      <c r="K12" s="99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99">
        <v>95</v>
      </c>
    </row>
    <row r="14" spans="1:13" x14ac:dyDescent="0.3">
      <c r="J14" s="11" t="s">
        <v>102</v>
      </c>
      <c r="K14" s="99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6" t="s">
        <v>1</v>
      </c>
      <c r="D2" s="87"/>
      <c r="E2" s="87"/>
      <c r="F2" s="87"/>
      <c r="G2" s="87"/>
      <c r="H2" s="87"/>
    </row>
    <row r="3" spans="1:13" ht="32.25" customHeight="1" x14ac:dyDescent="0.3">
      <c r="C3" s="87"/>
      <c r="D3" s="87"/>
      <c r="E3" s="87"/>
      <c r="F3" s="87"/>
      <c r="G3" s="87"/>
      <c r="H3" s="87"/>
    </row>
    <row r="4" spans="1:13" ht="23.25" customHeight="1" x14ac:dyDescent="0.3">
      <c r="A4" s="8" t="s">
        <v>2</v>
      </c>
      <c r="B4" s="90" t="s">
        <v>3</v>
      </c>
      <c r="C4" s="91"/>
      <c r="D4" s="90" t="s">
        <v>4</v>
      </c>
      <c r="E4" s="91"/>
      <c r="F4" s="90" t="s">
        <v>5</v>
      </c>
      <c r="G4" s="91"/>
      <c r="H4" s="92" t="s">
        <v>6</v>
      </c>
      <c r="I4" s="93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1" t="s">
        <v>18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5" t="s">
        <v>42</v>
      </c>
      <c r="D14" s="96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18</v>
      </c>
      <c r="C15" s="100">
        <v>45748</v>
      </c>
      <c r="D15" s="104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4" t="s">
        <v>121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2025-04-17T19:00:14Z</dcterms:modified>
  <cp:category/>
  <cp:contentStatus/>
</cp:coreProperties>
</file>
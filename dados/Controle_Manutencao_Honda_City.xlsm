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EE4D73BD-3DAE-4CC8-BAE1-CECE21751F93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31" r:id="rId12"/>
    <pivotCache cacheId="38" r:id="rId13"/>
    <pivotCache cacheId="46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5" l="1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<sst xmlns="http://schemas.openxmlformats.org/spreadsheetml/2006/main" count="414" uniqueCount="143">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</sst>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8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68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7.7592853605576932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254626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370372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10T00:00:00" count="4">
        <d v="2025-03-28T00:00:00"/>
        <d v="2025-04-06T00:00:00"/>
        <d v="2025-04-09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62.51"/>
    </cacheField>
    <cacheField name="Preço por litro" numFmtId="44">
      <sharedItems containsString="0" containsBlank="1" containsNumber="1" minValue="5.87" maxValue="6.05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823" maxValue="87301"/>
    </cacheField>
    <cacheField name="Km percorridos" numFmtId="164">
      <sharedItems containsString="0" containsBlank="1" containsNumber="1" containsInteger="1" minValue="131" maxValue="524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370372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823"/>
    <n v="131"/>
  </r>
  <r>
    <x v="1"/>
    <x v="0"/>
    <x v="0"/>
    <x v="0"/>
    <s v="Gasolina Aditivada Petrobras Grid"/>
    <n v="230.08"/>
    <n v="5.97"/>
    <n v="38.539363484087104"/>
    <n v="86954"/>
    <n v="524"/>
  </r>
  <r>
    <x v="2"/>
    <x v="0"/>
    <x v="0"/>
    <x v="0"/>
    <s v="Gasolina Comum"/>
    <n v="262.51"/>
    <n v="5.87"/>
    <n v="44.720613287904598"/>
    <n v="87301"/>
    <n v="347"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38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7" firstHeaderRow="1" firstDataRow="2" firstDataCol="2"/>
  <pivotFields count="12">
    <pivotField axis="axisRow" compact="0" numFmtId="14" outline="0" showAll="0">
      <items count="5">
        <item x="0"/>
        <item x="3"/>
        <item x="1"/>
        <item x="2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4">
    <i>
      <x/>
      <x/>
    </i>
    <i r="1">
      <x v="2"/>
    </i>
    <i r="1"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37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3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5">
        <item h="1" x="0"/>
        <item h="1" x="3"/>
        <item h="1" x="1"/>
        <item x="2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41">
      <pivotArea grandRow="1" outline="0" collapsedLevelsAreSubtotals="1" fieldPosition="0"/>
    </format>
    <format dxfId="40">
      <pivotArea dataOnly="0" labelOnly="1" grandRow="1" outline="0" fieldPosition="0"/>
    </format>
    <format dxfId="39">
      <pivotArea grandRow="1" outline="0" collapsedLevelsAreSubtotals="1" fieldPosition="0"/>
    </format>
    <format dxfId="38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46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36">
      <pivotArea type="all" dataOnly="0" outline="0" fieldPosition="0"/>
    </format>
    <format dxfId="35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dataOnly="0" labelOnly="1" outline="0" fieldPosition="0">
        <references count="1">
          <reference field="5" count="0"/>
        </references>
      </pivotArea>
    </format>
    <format dxfId="32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4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31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31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67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66"/>
    <tableColumn id="2" xr3:uid="{00000000-0010-0000-0000-000002000000}" name="Modelo" dataDxfId="65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64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63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62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61">
  <autoFilter ref="A7:J27" xr:uid="{00000000-0009-0000-0100-000009000000}"/>
  <tableColumns count="10">
    <tableColumn id="1" xr3:uid="{00000000-0010-0000-0500-000001000000}" name="Data" dataDxfId="60"/>
    <tableColumn id="2" xr3:uid="{00000000-0010-0000-0500-000002000000}" name="Placa"/>
    <tableColumn id="3" xr3:uid="{00000000-0010-0000-0500-000003000000}" name="Modelo" dataDxfId="59">
      <calculatedColumnFormula>IFERROR(VLOOKUP(B8,'2. CADASTRO DE VEÍCULOS'!B:D,3,0),"")</calculatedColumnFormula>
    </tableColumn>
    <tableColumn id="11" xr3:uid="{00000000-0010-0000-0500-00000B000000}" name="Fabricante" dataDxfId="58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57"/>
    <tableColumn id="6" xr3:uid="{00000000-0010-0000-0500-000006000000}" name="Preço por litro" dataCellStyle="Moeda"/>
    <tableColumn id="10" xr3:uid="{00000000-0010-0000-0500-00000A000000}" name="Litros abastecidos" dataDxfId="56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55" dataCellStyle="Vírgula"/>
    <tableColumn id="7" xr3:uid="{00000000-0010-0000-0500-000007000000}" name="Km percorridos" dataDxfId="54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53">
  <autoFilter ref="A7:I60" xr:uid="{00000000-0009-0000-0100-00000A000000}"/>
  <tableColumns count="9">
    <tableColumn id="1" xr3:uid="{00000000-0010-0000-0600-000001000000}" name="Data" dataDxfId="52"/>
    <tableColumn id="7" xr3:uid="{00000000-0010-0000-0600-000007000000}" name="Placa" dataDxfId="51"/>
    <tableColumn id="6" xr3:uid="{00000000-0010-0000-0600-000006000000}" name="Modelo" dataDxfId="50">
      <calculatedColumnFormula>IFERROR(VLOOKUP(B8,'2. CADASTRO DE VEÍCULOS'!B:D,3,0),"")</calculatedColumnFormula>
    </tableColumn>
    <tableColumn id="8" xr3:uid="{00000000-0010-0000-0600-000008000000}" name="Fabricante" dataDxfId="49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48">
  <autoFilter ref="A7:M11" xr:uid="{00000000-0009-0000-0100-00000B000000}"/>
  <tableColumns count="13">
    <tableColumn id="1" xr3:uid="{00000000-0010-0000-0700-000001000000}" name="Data" dataDxfId="47"/>
    <tableColumn id="13" xr3:uid="{00000000-0010-0000-0700-00000D000000}" name="Placa" dataDxfId="46"/>
    <tableColumn id="12" xr3:uid="{00000000-0010-0000-0700-00000C000000}" name="Modelo" dataDxfId="45">
      <calculatedColumnFormula>IFERROR(VLOOKUP(B8,'2. CADASTRO DE VEÍCULOS'!B:D,3,0),"")</calculatedColumnFormula>
    </tableColumn>
    <tableColumn id="11" xr3:uid="{00000000-0010-0000-0700-00000B000000}" name="Fabricante" dataDxfId="44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43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42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30" tableBorderDxfId="29">
  <autoFilter ref="G9:L19" xr:uid="{00000000-0009-0000-0100-00000C000000}"/>
  <tableColumns count="6">
    <tableColumn id="1" xr3:uid="{00000000-0010-0000-0800-000001000000}" name="Placa" dataDxfId="28"/>
    <tableColumn id="2" xr3:uid="{00000000-0010-0000-0800-000002000000}" name="Fabricante" dataDxfId="27"/>
    <tableColumn id="3" xr3:uid="{00000000-0010-0000-0800-000003000000}" name="Modelo" dataDxfId="26"/>
    <tableColumn id="4" xr3:uid="{00000000-0010-0000-0800-000004000000}" name="Últ. Abast." dataDxfId="25">
      <calculatedColumnFormula array="1">IFERROR(LARGE(IF(G10=Tabela4[Placa],Tabela4[Quilometragem do hodômetro (Km)]),1),0)</calculatedColumnFormula>
    </tableColumn>
    <tableColumn id="5" xr3:uid="{00000000-0010-0000-0800-000005000000}" name="Próx. Troca" dataDxfId="24">
      <calculatedColumnFormula array="1">IFERROR(LARGE(IF(G10=Tabela9[Placa],Tabela9[Próxima troca (Km)]),1),0)</calculatedColumnFormula>
    </tableColumn>
    <tableColumn id="6" xr3:uid="{00000000-0010-0000-0800-000006000000}" name="Alerta" dataDxfId="23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22">
  <autoFilter ref="A7:M11" xr:uid="{00000000-0009-0000-0100-00000B000000}"/>
  <tableColumns count="13">
    <tableColumn id="1" xr3:uid="{D52E3B5A-FAE9-4EB9-93B5-377852A545D6}" name="Data" dataDxfId="21"/>
    <tableColumn id="13" xr3:uid="{A65D354E-904C-4772-9F70-6B35C810542F}" name="Placa" dataDxfId="20"/>
    <tableColumn id="12" xr3:uid="{977B0B84-7580-4185-A977-3196000F9C98}" name="Modelo" dataDxfId="19">
      <calculatedColumnFormula>IFERROR(VLOOKUP(B8,'2. CADASTRO DE VEÍCULOS'!B:D,3,0),"")</calculatedColumnFormula>
    </tableColumn>
    <tableColumn id="11" xr3:uid="{1F4E373B-AB4B-499C-9750-7D7A08E4F593}" name="Fabricante" dataDxfId="18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7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16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142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141</v>
      </c>
    </row>
    <row r="30" spans="1:4" x14ac:dyDescent="0.3">
      <c r="A30" t="s">
        <v>140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opLeftCell="C1" workbookViewId="0">
      <pane ySplit="4" topLeftCell="A5" activePane="bottomLeft" state="frozen"/>
      <selection pane="bottomLeft" activeCell="E9" sqref="E9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5" width="23" customWidth="1"/>
    <col min="6" max="6" width="21.6640625" customWidth="1"/>
    <col min="7" max="7" width="28.5546875" customWidth="1"/>
    <col min="8" max="8" width="21.33203125" customWidth="1"/>
    <col min="9" max="9" width="35.88671875" bestFit="1" customWidth="1"/>
    <col min="10" max="10" width="19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86823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142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524</v>
      </c>
    </row>
    <row r="10" spans="1:13" x14ac:dyDescent="0.3">
      <c r="A10" s="23">
        <v>45756</v>
      </c>
      <c r="B10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s="82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/>
      <c r="C11" s="21"/>
      <c r="D11" s="16"/>
      <c r="F11" s="17"/>
      <c r="G11" s="17"/>
      <c r="H11" s="22"/>
      <c r="I11" s="25"/>
      <c r="J11" s="24"/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7" t="s">
        <v>1</v>
      </c>
      <c r="C2" s="88"/>
      <c r="D2" s="88"/>
      <c r="E2" s="88"/>
      <c r="F2" s="88"/>
    </row>
    <row r="3" spans="1:13" ht="32.25" customHeight="1" x14ac:dyDescent="0.3">
      <c r="B3" s="89"/>
      <c r="C3" s="89"/>
      <c r="D3" s="89"/>
      <c r="E3" s="89"/>
      <c r="F3" s="89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0" t="s">
        <v>1</v>
      </c>
      <c r="E2" s="90"/>
      <c r="F2" s="90"/>
      <c r="G2" s="90"/>
      <c r="H2" s="90"/>
      <c r="I2" s="90"/>
      <c r="J2" s="90"/>
      <c r="K2" s="90"/>
    </row>
    <row r="3" spans="1:15" ht="32.25" customHeight="1" x14ac:dyDescent="0.3">
      <c r="D3" s="90"/>
      <c r="E3" s="90"/>
      <c r="F3" s="90"/>
      <c r="G3" s="90"/>
      <c r="H3" s="90"/>
      <c r="I3" s="90"/>
      <c r="J3" s="90"/>
      <c r="K3" s="90"/>
    </row>
    <row r="4" spans="1:15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s="70">
        <v>45756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7.7592853605576932</v>
      </c>
    </row>
    <row r="13" spans="1:15" x14ac:dyDescent="0.3">
      <c r="A13" s="34"/>
      <c r="B13" s="40" t="s">
        <v>13</v>
      </c>
      <c r="C13" s="96" t="s">
        <v>42</v>
      </c>
      <c r="D13" s="97" t="s">
        <v>98</v>
      </c>
      <c r="E13" s="97" t="s">
        <v>99</v>
      </c>
      <c r="F13" s="97" t="s">
        <v>100</v>
      </c>
      <c r="G13" s="35" t="s">
        <v>101</v>
      </c>
      <c r="J13" s="106" t="s">
        <v>102</v>
      </c>
      <c r="K13" s="105">
        <v>7.7592853605576932</v>
      </c>
    </row>
    <row r="14" spans="1:15" x14ac:dyDescent="0.3">
      <c r="A14" s="34"/>
      <c r="B14" s="34" t="s">
        <v>18</v>
      </c>
      <c r="C14" s="102">
        <v>45744</v>
      </c>
      <c r="D14" s="98">
        <v>100.01</v>
      </c>
      <c r="E14" s="103">
        <v>131</v>
      </c>
      <c r="F14" s="98">
        <v>0.76343511450381685</v>
      </c>
      <c r="G14" s="49">
        <v>7.9247075292470752</v>
      </c>
    </row>
    <row r="15" spans="1:15" x14ac:dyDescent="0.3">
      <c r="A15" s="34"/>
      <c r="B15" s="34"/>
      <c r="C15" s="102">
        <v>45753</v>
      </c>
      <c r="D15" s="98">
        <v>230.08</v>
      </c>
      <c r="E15" s="103">
        <v>524</v>
      </c>
      <c r="F15" s="98">
        <v>0.43908396946564887</v>
      </c>
      <c r="G15" s="49">
        <v>13.596488178025034</v>
      </c>
    </row>
    <row r="16" spans="1:15" x14ac:dyDescent="0.3">
      <c r="A16" s="34"/>
      <c r="B16" s="34"/>
      <c r="C16" s="102">
        <v>45756</v>
      </c>
      <c r="D16" s="98">
        <v>262.51</v>
      </c>
      <c r="E16" s="103">
        <v>347</v>
      </c>
      <c r="F16" s="98">
        <v>0.75651296829971182</v>
      </c>
      <c r="G16" s="49">
        <v>7.7592853605576932</v>
      </c>
    </row>
    <row r="17" spans="1:11" ht="15" thickBot="1" x14ac:dyDescent="0.35">
      <c r="A17" s="34"/>
      <c r="B17" s="36" t="s">
        <v>102</v>
      </c>
      <c r="C17" s="37"/>
      <c r="D17" s="38">
        <v>592.6</v>
      </c>
      <c r="E17" s="104">
        <v>1002</v>
      </c>
      <c r="F17" s="38">
        <v>0.59141716566866265</v>
      </c>
      <c r="G17" s="50">
        <v>10.041030407581633</v>
      </c>
    </row>
    <row r="18" spans="1:11" x14ac:dyDescent="0.3">
      <c r="A18" s="34"/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7" t="s">
        <v>1</v>
      </c>
      <c r="E2" s="88"/>
      <c r="F2" s="88"/>
      <c r="G2" s="88"/>
      <c r="H2" s="88"/>
      <c r="I2" s="88"/>
      <c r="J2" s="88"/>
    </row>
    <row r="3" spans="1:13" ht="32.25" customHeight="1" x14ac:dyDescent="0.3">
      <c r="D3" s="88"/>
      <c r="E3" s="88"/>
      <c r="F3" s="88"/>
      <c r="G3" s="88"/>
      <c r="H3" s="88"/>
      <c r="I3" s="88"/>
      <c r="J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6" t="s">
        <v>15</v>
      </c>
      <c r="C11" s="96" t="s">
        <v>14</v>
      </c>
      <c r="D11" s="100" t="s">
        <v>28</v>
      </c>
      <c r="E11" s="100" t="s">
        <v>30</v>
      </c>
      <c r="F11" s="100" t="s">
        <v>125</v>
      </c>
      <c r="G11" s="100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18</v>
      </c>
      <c r="B12" s="97" t="s">
        <v>20</v>
      </c>
      <c r="C12" s="97" t="s">
        <v>19</v>
      </c>
      <c r="D12" s="99">
        <v>4197</v>
      </c>
      <c r="E12" s="99">
        <v>60</v>
      </c>
      <c r="F12" s="99">
        <v>100</v>
      </c>
      <c r="G12" s="99">
        <v>95</v>
      </c>
      <c r="H12" s="77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7" t="s">
        <v>1</v>
      </c>
      <c r="D2" s="88"/>
      <c r="E2" s="88"/>
      <c r="F2" s="88"/>
      <c r="G2" s="88"/>
      <c r="H2" s="88"/>
    </row>
    <row r="3" spans="1:13" ht="32.25" customHeight="1" x14ac:dyDescent="0.3">
      <c r="C3" s="88"/>
      <c r="D3" s="88"/>
      <c r="E3" s="88"/>
      <c r="F3" s="88"/>
      <c r="G3" s="88"/>
      <c r="H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96" t="s">
        <v>42</v>
      </c>
      <c r="D14" s="97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102">
        <v>45748</v>
      </c>
      <c r="D15" s="107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5" t="s">
        <v>121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2025-04-09T22:10:10Z</dcterms:modified>
  <cp:category/>
  <cp:contentStatus/>
</cp:coreProperties>
</file>
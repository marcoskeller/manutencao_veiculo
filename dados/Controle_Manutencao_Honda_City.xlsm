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8BBCDB63-37CC-4035-A3A6-56756F4E643A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10" r:id="rId12"/>
    <pivotCache cacheId="17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5" l="1"/>
  <c r="D22" i="5"/>
  <c r="C22" i="5"/>
  <c r="H21" i="5"/>
  <c r="D21" i="5"/>
  <c r="C21" i="5"/>
  <c r="H20" i="5"/>
  <c r="D20" i="5"/>
  <c r="C20" i="5"/>
  <c r="H19" i="5"/>
  <c r="D19" i="5"/>
  <c r="C19" i="5"/>
  <c r="H18" i="5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<sst xmlns="http://schemas.openxmlformats.org/spreadsheetml/2006/main" count="445" uniqueCount="150">
  <si>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</si>
  <si>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</si>
  <si>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</si>
  <si>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</si>
  <si>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</si>
  <si>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</si>
  <si>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</si>
  <si>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</si>
  <si>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</si>
  <si>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</si>
  <si>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</si>
  <si>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</si>
  <si>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</si>
  <si>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</si>
  <si>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</si>
  <si>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</si>
  <si>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</si>
  <si>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</si>
  <si>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</si>
  <si>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</si>
  <si>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</si>
  <si>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</si>
  <si>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</si>
  <si>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</si>
  <si>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</si>
  <si>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</si>
  <si>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</si>
  <si>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</si>
  <si>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</si>
  <si>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</si>
  <si>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</si>
  <si>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</si>
  <si>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</si>
  <si>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</si>
  <si>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</si>
  <si>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</si>
  <si>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</si>
  <si>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</si>
  <si>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</si>
  <si>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</si>
  <si>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</si>
  <si>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</si>
  <si>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</si>
  <si>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</si>
  <si>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</si>
  <si>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</si>
  <si>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</si>
  <si>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</si>
  <si>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</si>
  <si>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</si>
  <si>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</si>
  <si>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</si>
  <si>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</si>
  <si>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</si>
  <si>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</si>
  <si>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</si>
  <si>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</si>
  <si>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</si>
  <si>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</si>
  <si>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</si>
  <si>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</si>
  <si>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</si>
  <si>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</si>
  <si>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</si>
  <si>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</si>
  <si>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</si>
  <si>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</si>
  <si>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</si>
  <si>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</si>
  <si>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</si>
  <si>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</si>
  <si>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</si>
  <si>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</si>
  <si>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</si>
  <si>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</si>
  <si>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</si>
  <si>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</si>
  <si>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</si>
  <si>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</si>
  <si>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</si>
  <si>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</si>
  <si>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</si>
  <si>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</si>
  <si>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</si>
  <si>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</si>
  <si>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</si>
  <si>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</si>
  <si>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</si>
  <si>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</si>
  <si>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</si>
  <si>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</si>
  <si>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</si>
  <si>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</si>
  <si>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</si>
  <si>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</si>
  <si>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</si>
  <si>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</si>
  <si>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</si>
  <si>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</si>
  <si>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</si>
  <si>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</si>
  <si>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</si>
  <si>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</si>
  <si>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</si>
  <si>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</si>
  <si>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</si>
  <si>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</si>
  <si>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</si>
  <si>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</si>
  <si>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</si>
  <si>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</si>
  <si>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</si>
  <si>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</si>
  <si>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</si>
  <si>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</si>
  <si>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</si>
  <si>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</si>
  <si>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</si>
  <si>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</si>
  <si>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</si>
  <si>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</si>
  <si>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</si>
  <si>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</si>
  <si>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</si>
  <si>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</si>
  <si>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</si>
  <si>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</si>
  <si>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</si>
  <si>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</si>
  <si>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</si>
  <si>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</si>
  <si>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</si>
  <si>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</si>
  <si>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</si>
  <si>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</si>
  <si>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</si>
  <si>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</si>
  <si>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</si>
  <si>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</si>
  <si>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</si>
  <si>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</si>
  <si>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</si>
  <si>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</si>
  <si>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</si>
  <si>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10</t>
  </si>
  <si>
    <t>Gasolina Comum - Posto Shell Pica Pau</t>
  </si>
  <si>
    <t>Gasolina Comum - Posto Ipiranga Rio Comprido</t>
  </si>
  <si>
    <t>Posto Amigo 11</t>
  </si>
  <si>
    <t>Posto Amigo 12</t>
  </si>
  <si>
    <t>Gasolina Comum - Posto BR 18º - Batalhao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</si>
</sst>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7.9538761270854845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4.39233263889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4.392332754629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6-17T00:00:00" count="17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d v="2025-05-29T00:00:00"/>
        <d v="2025-06-04T00:00:00"/>
        <d v="2025-06-10T00:00:00"/>
        <d v="2025-06-16T00:00:00"/>
        <m/>
        <d v="2025-06-05T00:00:00" u="1"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91284"/>
    </cacheField>
    <cacheField name="Km percorridos" numFmtId="164">
      <sharedItems containsString="0" containsBlank="1" containsNumber="1" containsInteger="1" minValue="131" maxValue="360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4.392332870368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0"/>
    <x v="0"/>
    <x v="0"/>
    <s v="Gasolina Comum - Posto BR 18º - Batalhao"/>
    <n v="249.84"/>
    <n v="5.99"/>
    <n v="41.709515859766277"/>
    <n v="90280"/>
    <n v="352"/>
  </r>
  <r>
    <x v="12"/>
    <x v="0"/>
    <x v="0"/>
    <x v="0"/>
    <s v="Gasolina Comum - Posto BR 18º - Batalhao"/>
    <n v="260.68"/>
    <n v="5.99"/>
    <n v="43.519198664440736"/>
    <n v="90640"/>
    <n v="360"/>
  </r>
  <r>
    <x v="13"/>
    <x v="0"/>
    <x v="0"/>
    <x v="0"/>
    <s v="Gasolina Comum - Posto BR 18º - Batalhao"/>
    <n v="243.61"/>
    <n v="5.99"/>
    <n v="40.669449081803009"/>
    <n v="90960"/>
    <n v="320"/>
  </r>
  <r>
    <x v="14"/>
    <x v="0"/>
    <x v="0"/>
    <x v="0"/>
    <s v="Gasolina Comum - Posto BR 18º - Batalhao"/>
    <n v="259.56"/>
    <n v="6.39"/>
    <n v="40.619718309859159"/>
    <n v="91284"/>
    <n v="324"/>
  </r>
  <r>
    <x v="15"/>
    <x v="1"/>
    <x v="1"/>
    <x v="1"/>
    <m/>
    <m/>
    <m/>
    <m/>
    <m/>
    <m/>
  </r>
  <r>
    <x v="15"/>
    <x v="1"/>
    <x v="1"/>
    <x v="1"/>
    <m/>
    <m/>
    <m/>
    <m/>
    <m/>
    <m/>
  </r>
  <r>
    <x v="15"/>
    <x v="1"/>
    <x v="1"/>
    <x v="1"/>
    <m/>
    <m/>
    <m/>
    <m/>
    <m/>
    <m/>
  </r>
  <r>
    <x v="15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7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9" firstHeaderRow="1" firstDataRow="2" firstDataCol="2"/>
  <pivotFields count="12">
    <pivotField axis="axisRow" compact="0" numFmtId="14" outline="0" showAll="0">
      <items count="18">
        <item x="0"/>
        <item x="15"/>
        <item x="1"/>
        <item x="2"/>
        <item x="3"/>
        <item x="4"/>
        <item x="5"/>
        <item x="6"/>
        <item x="7"/>
        <item x="8"/>
        <item x="9"/>
        <item x="10"/>
        <item x="11"/>
        <item m="1" x="16"/>
        <item x="12"/>
        <item x="13"/>
        <item x="14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6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8">
        <item x="0"/>
        <item h="1" x="15"/>
        <item x="1"/>
        <item x="2"/>
        <item x="3"/>
        <item x="4"/>
        <item x="5"/>
        <item x="6"/>
        <item x="7"/>
        <item x="8"/>
        <item x="9"/>
        <item x="10"/>
        <item x="11"/>
        <item m="1" x="16"/>
        <item x="12"/>
        <item x="13"/>
        <item x="14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10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10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24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5" totalsRowShown="0" headerRowDxfId="52">
  <autoFilter ref="A23:A35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5"/>
  <sheetViews>
    <sheetView showGridLines="0" workbookViewId="0">
      <pane ySplit="4" topLeftCell="A17" activePane="bottomLeft" state="frozen"/>
      <selection pane="bottomLeft" activeCell="A34" sqref="A34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145</v>
      </c>
    </row>
    <row r="31" spans="1:4" x14ac:dyDescent="0.3">
      <c r="A31" t="s">
        <v>146</v>
      </c>
    </row>
    <row r="32" spans="1:4" x14ac:dyDescent="0.3">
      <c r="A32" t="s">
        <v>149</v>
      </c>
    </row>
    <row r="33" spans="1:1" x14ac:dyDescent="0.3">
      <c r="A33" t="s">
        <v>144</v>
      </c>
    </row>
    <row r="34" spans="1:1" x14ac:dyDescent="0.3">
      <c r="A34" t="s">
        <v>147</v>
      </c>
    </row>
    <row r="35" spans="1:1" x14ac:dyDescent="0.3">
      <c r="A35" t="s">
        <v>148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workbookViewId="0">
      <pane ySplit="4" topLeftCell="A5" activePane="bottomLeft" state="frozen"/>
      <selection pane="bottomLeft" activeCell="J24" sqref="J24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145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146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146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146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146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>
        <v>45806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149</v>
      </c>
      <c r="F19" s="17">
        <v>249.84</v>
      </c>
      <c r="G19" s="17">
        <v>5.99</v>
      </c>
      <c r="H19" s="22">
        <f>Tabela4[[#This Row],[Custo total R$]]/Tabela4[[#This Row],[Preço por litro]]</f>
        <v>41.709515859766277</v>
      </c>
      <c r="I19" s="25">
        <v>90280</v>
      </c>
      <c r="J19" s="24">
        <v>352</v>
      </c>
    </row>
    <row r="20" spans="1:10" x14ac:dyDescent="0.3">
      <c r="A20" s="23">
        <v>45812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149</v>
      </c>
      <c r="F20" s="17">
        <v>260.68</v>
      </c>
      <c r="G20" s="17">
        <v>5.99</v>
      </c>
      <c r="H20" s="22">
        <f>Tabela4[[#This Row],[Custo total R$]]/Tabela4[[#This Row],[Preço por litro]]</f>
        <v>43.519198664440736</v>
      </c>
      <c r="I20" s="25">
        <v>90640</v>
      </c>
      <c r="J20" s="24">
        <v>360</v>
      </c>
    </row>
    <row r="21" spans="1:10" x14ac:dyDescent="0.3">
      <c r="A21" s="23">
        <v>45818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149</v>
      </c>
      <c r="F21" s="17">
        <v>243.61</v>
      </c>
      <c r="G21" s="17">
        <v>5.99</v>
      </c>
      <c r="H21" s="22">
        <f>Tabela4[[#This Row],[Custo total R$]]/Tabela4[[#This Row],[Preço por litro]]</f>
        <v>40.669449081803009</v>
      </c>
      <c r="I21" s="25">
        <v>90960</v>
      </c>
      <c r="J21" s="24">
        <v>320</v>
      </c>
    </row>
    <row r="22" spans="1:10" x14ac:dyDescent="0.3">
      <c r="A22" s="23">
        <v>45824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149</v>
      </c>
      <c r="F22" s="17">
        <v>259.56</v>
      </c>
      <c r="G22" s="17">
        <v>6.39</v>
      </c>
      <c r="H22" s="22">
        <f>Tabela4[[#This Row],[Custo total R$]]/Tabela4[[#This Row],[Preço por litro]]</f>
        <v>40.619718309859159</v>
      </c>
      <c r="I22" s="25">
        <v>91284</v>
      </c>
      <c r="J22" s="24">
        <v>324</v>
      </c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B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9"/>
  <sheetViews>
    <sheetView showGridLines="0" tabSelected="1" workbookViewId="0">
      <pane ySplit="4" topLeftCell="A13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2">
        <v>7.9538761270854845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7" t="s">
        <v>102</v>
      </c>
      <c r="K13" s="106">
        <v>7.9538761270854845</v>
      </c>
    </row>
    <row r="14" spans="1:15" x14ac:dyDescent="0.3">
      <c r="A14" s="34"/>
      <c r="B14" s="34" t="s">
        <v>143</v>
      </c>
      <c r="C14" s="103">
        <v>45744</v>
      </c>
      <c r="D14" s="99">
        <v>100.01</v>
      </c>
      <c r="E14" s="104">
        <v>131</v>
      </c>
      <c r="F14" s="99">
        <v>0.76343511450381685</v>
      </c>
      <c r="G14" s="86">
        <v>7.9247075292470752</v>
      </c>
    </row>
    <row r="15" spans="1:15" x14ac:dyDescent="0.3">
      <c r="A15" s="34"/>
      <c r="B15" s="34"/>
      <c r="C15" s="103">
        <v>45753</v>
      </c>
      <c r="D15" s="99">
        <v>230.08</v>
      </c>
      <c r="E15" s="104">
        <v>305</v>
      </c>
      <c r="F15" s="99">
        <v>0.75436065573770494</v>
      </c>
      <c r="G15" s="86">
        <v>7.913986439499304</v>
      </c>
    </row>
    <row r="16" spans="1:15" x14ac:dyDescent="0.3">
      <c r="A16" s="34"/>
      <c r="B16" s="34"/>
      <c r="C16" s="103">
        <v>45756</v>
      </c>
      <c r="D16" s="99">
        <v>262.51</v>
      </c>
      <c r="E16" s="104">
        <v>347</v>
      </c>
      <c r="F16" s="99">
        <v>0.75651296829971182</v>
      </c>
      <c r="G16" s="86">
        <v>7.7592853605576932</v>
      </c>
    </row>
    <row r="17" spans="1:11" x14ac:dyDescent="0.3">
      <c r="A17" s="34"/>
      <c r="B17" s="34"/>
      <c r="C17" s="103">
        <v>45759</v>
      </c>
      <c r="D17" s="99">
        <v>249</v>
      </c>
      <c r="E17" s="104">
        <v>320</v>
      </c>
      <c r="F17" s="99">
        <v>0.77812499999999996</v>
      </c>
      <c r="G17" s="86">
        <v>7.697991967871487</v>
      </c>
    </row>
    <row r="18" spans="1:11" x14ac:dyDescent="0.3">
      <c r="A18" s="34"/>
      <c r="B18" s="34"/>
      <c r="C18" s="103">
        <v>45764</v>
      </c>
      <c r="D18" s="99">
        <v>264.92</v>
      </c>
      <c r="E18" s="104">
        <v>306</v>
      </c>
      <c r="F18" s="99">
        <v>0.86575163398692812</v>
      </c>
      <c r="G18" s="86">
        <v>7.4963762645326888</v>
      </c>
    </row>
    <row r="19" spans="1:11" x14ac:dyDescent="0.3">
      <c r="A19" s="34"/>
      <c r="B19" s="34"/>
      <c r="C19" s="103">
        <v>45770</v>
      </c>
      <c r="D19" s="99">
        <v>279.45999999999998</v>
      </c>
      <c r="E19" s="104">
        <v>359</v>
      </c>
      <c r="F19" s="99">
        <v>0.77844011142061276</v>
      </c>
      <c r="G19" s="86">
        <v>8.3371860015744659</v>
      </c>
    </row>
    <row r="20" spans="1:11" x14ac:dyDescent="0.3">
      <c r="A20" s="34"/>
      <c r="B20" s="34"/>
      <c r="C20" s="103">
        <v>45773</v>
      </c>
      <c r="D20" s="99">
        <v>257.47000000000003</v>
      </c>
      <c r="E20" s="104">
        <v>343</v>
      </c>
      <c r="F20" s="99">
        <v>0.75064139941690966</v>
      </c>
      <c r="G20" s="86">
        <v>7.9531984308851502</v>
      </c>
    </row>
    <row r="21" spans="1:11" x14ac:dyDescent="0.3">
      <c r="A21" s="34"/>
      <c r="B21" s="34"/>
      <c r="C21" s="103">
        <v>45780</v>
      </c>
      <c r="D21" s="99">
        <v>250.44</v>
      </c>
      <c r="E21" s="104">
        <v>337</v>
      </c>
      <c r="F21" s="99">
        <v>0.74314540059347178</v>
      </c>
      <c r="G21" s="86">
        <v>8.0334211787254439</v>
      </c>
    </row>
    <row r="22" spans="1:11" x14ac:dyDescent="0.3">
      <c r="A22" s="34"/>
      <c r="B22" s="34"/>
      <c r="C22" s="103">
        <v>45791</v>
      </c>
      <c r="D22" s="99">
        <v>253.15</v>
      </c>
      <c r="E22" s="104">
        <v>354</v>
      </c>
      <c r="F22" s="99">
        <v>0.71511299435028253</v>
      </c>
      <c r="G22" s="86">
        <v>8.2364605964842976</v>
      </c>
    </row>
    <row r="23" spans="1:11" x14ac:dyDescent="0.3">
      <c r="A23" s="34"/>
      <c r="B23" s="34"/>
      <c r="C23" s="103">
        <v>45794</v>
      </c>
      <c r="D23" s="99">
        <v>219.46</v>
      </c>
      <c r="E23" s="104">
        <v>304</v>
      </c>
      <c r="F23" s="99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103">
        <v>45799</v>
      </c>
      <c r="D24" s="99">
        <v>248.15</v>
      </c>
      <c r="E24" s="104">
        <v>304</v>
      </c>
      <c r="F24" s="99">
        <v>0.81628289473684212</v>
      </c>
      <c r="G24" s="86">
        <v>7.2156357042111612</v>
      </c>
      <c r="J24" s="52"/>
      <c r="K24" s="52"/>
    </row>
    <row r="25" spans="1:11" x14ac:dyDescent="0.3">
      <c r="A25" s="34"/>
      <c r="B25" s="34"/>
      <c r="C25" s="103">
        <v>45806</v>
      </c>
      <c r="D25" s="99">
        <v>249.84</v>
      </c>
      <c r="E25" s="104">
        <v>352</v>
      </c>
      <c r="F25" s="99">
        <v>0.70977272727272733</v>
      </c>
      <c r="G25" s="86">
        <v>8.4393211655459499</v>
      </c>
    </row>
    <row r="26" spans="1:11" x14ac:dyDescent="0.3">
      <c r="A26" s="34"/>
      <c r="B26" s="34"/>
      <c r="C26" s="103">
        <v>45812</v>
      </c>
      <c r="D26" s="99">
        <v>260.68</v>
      </c>
      <c r="E26" s="104">
        <v>360</v>
      </c>
      <c r="F26" s="99">
        <v>0.72411111111111115</v>
      </c>
      <c r="G26" s="86">
        <v>8.2722111400951359</v>
      </c>
    </row>
    <row r="27" spans="1:11" x14ac:dyDescent="0.3">
      <c r="B27" s="34"/>
      <c r="C27" s="103">
        <v>45818</v>
      </c>
      <c r="D27" s="99">
        <v>243.61</v>
      </c>
      <c r="E27" s="104">
        <v>320</v>
      </c>
      <c r="F27" s="99">
        <v>0.76128125000000002</v>
      </c>
      <c r="G27" s="86">
        <v>7.8683141086162305</v>
      </c>
    </row>
    <row r="28" spans="1:11" x14ac:dyDescent="0.3">
      <c r="B28" s="34"/>
      <c r="C28" s="103">
        <v>45824</v>
      </c>
      <c r="D28" s="99">
        <v>259.56</v>
      </c>
      <c r="E28" s="104">
        <v>324</v>
      </c>
      <c r="F28" s="99">
        <v>0.80111111111111111</v>
      </c>
      <c r="G28" s="86">
        <v>7.9764216366158101</v>
      </c>
    </row>
    <row r="29" spans="1:11" ht="15" thickBot="1" x14ac:dyDescent="0.35">
      <c r="B29" s="36" t="s">
        <v>102</v>
      </c>
      <c r="C29" s="37"/>
      <c r="D29" s="38">
        <v>3628.34</v>
      </c>
      <c r="E29" s="105">
        <v>4766</v>
      </c>
      <c r="F29" s="38">
        <v>0.76129668485102819</v>
      </c>
      <c r="G29" s="49">
        <v>7.9538761270854845</v>
      </c>
    </row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2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1" t="s">
        <v>28</v>
      </c>
      <c r="E11" s="101" t="s">
        <v>30</v>
      </c>
      <c r="F11" s="101" t="s">
        <v>125</v>
      </c>
      <c r="G11" s="101" t="s">
        <v>130</v>
      </c>
      <c r="H11" s="45" t="s">
        <v>107</v>
      </c>
      <c r="J11" s="11" t="s">
        <v>30</v>
      </c>
      <c r="K11" s="102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0">
        <v>4197</v>
      </c>
      <c r="E12" s="100">
        <v>60</v>
      </c>
      <c r="F12" s="100">
        <v>100</v>
      </c>
      <c r="G12" s="100">
        <v>95</v>
      </c>
      <c r="H12" s="76">
        <v>4452</v>
      </c>
      <c r="J12" s="11" t="s">
        <v>125</v>
      </c>
      <c r="K12" s="10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2">
        <v>95</v>
      </c>
    </row>
    <row r="14" spans="1:13" x14ac:dyDescent="0.3">
      <c r="J14" s="11" t="s">
        <v>102</v>
      </c>
      <c r="K14" s="102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103">
        <v>45748</v>
      </c>
      <c r="D15" s="108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2025-06-16T12:26:15Z</dcterms:modified>
  <cp:category/>
  <cp:contentStatus/>
</cp:coreProperties>
</file>
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DE6D6F85-70CB-4BD1-8390-3E9812D3D367}" xr6:coauthVersionLast="47" xr6:coauthVersionMax="47" xr10:uidLastSave="{00000000-0000-0000-0000-000000000000}"/>
  <bookViews>
    <workbookView xWindow="-108" yWindow="-108" windowWidth="23256" windowHeight="12576" tabRatio="840" firstSheet="2" activeTab="5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5" l="1"/>
  <c r="D23" i="5"/>
  <c r="C23" i="5"/>
  <c r="H22" i="5"/>
  <c r="D22" i="5"/>
  <c r="C22" i="5"/>
  <c r="H21" i="5"/>
  <c r="D21" i="5"/>
  <c r="C21" i="5"/>
  <c r="H20" i="5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<sst xmlns="http://schemas.openxmlformats.org/spreadsheetml/2006/main" count="447" uniqueCount="150">
  <si>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</si>
  <si>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</si>
  <si>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</si>
  <si>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</si>
  <si>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</si>
  <si>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</si>
  <si>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</si>
  <si>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</si>
  <si>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</si>
  <si>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</si>
  <si>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</si>
  <si>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</si>
  <si>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</si>
  <si>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</si>
  <si>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</si>
  <si>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</si>
  <si>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</si>
  <si>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</si>
  <si>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</si>
  <si>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</si>
  <si>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</si>
  <si>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</si>
  <si>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</si>
  <si>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</si>
  <si>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</si>
  <si>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</si>
  <si>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</si>
  <si>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</si>
  <si>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</si>
  <si>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</si>
  <si>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</si>
  <si>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</si>
  <si>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</si>
  <si>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</si>
  <si>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</si>
  <si>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</si>
  <si>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</si>
  <si>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</si>
  <si>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</si>
  <si>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</si>
  <si>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</si>
  <si>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</si>
  <si>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</si>
  <si>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</si>
  <si>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</si>
  <si>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</si>
  <si>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</si>
  <si>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</si>
  <si>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</si>
  <si>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</si>
  <si>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</si>
  <si>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</si>
  <si>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</si>
  <si>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</si>
  <si>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</si>
  <si>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</si>
  <si>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</si>
  <si>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</si>
  <si>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</si>
  <si>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</si>
  <si>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</si>
  <si>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</si>
  <si>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</si>
  <si>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</si>
  <si>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</si>
  <si>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</si>
  <si>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</si>
  <si>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</si>
  <si>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</si>
  <si>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</si>
  <si>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</si>
  <si>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</si>
  <si>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</si>
  <si>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</si>
  <si>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</si>
  <si>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</si>
  <si>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</si>
  <si>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</si>
  <si>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</si>
  <si>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</si>
  <si>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</si>
  <si>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</si>
  <si>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</si>
  <si>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</si>
  <si>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</si>
  <si>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</si>
  <si>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</si>
  <si>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</si>
  <si>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</si>
  <si>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</si>
  <si>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</si>
  <si>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</si>
  <si>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</si>
  <si>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</si>
  <si>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</si>
  <si>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</si>
  <si>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</si>
  <si>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</si>
  <si>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</si>
  <si>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</si>
  <si>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</si>
  <si>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</si>
  <si>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</si>
  <si>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</si>
  <si>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</si>
  <si>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</si>
  <si>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</si>
  <si>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</si>
  <si>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</si>
  <si>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</si>
  <si>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</si>
  <si>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</si>
  <si>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</si>
  <si>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</si>
  <si>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</si>
  <si>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</si>
  <si>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</si>
  <si>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</si>
  <si>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</si>
  <si>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</si>
  <si>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</si>
  <si>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</si>
  <si>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</si>
  <si>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</si>
  <si>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</si>
  <si>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</si>
  <si>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</si>
  <si>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</si>
  <si>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</si>
  <si>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</si>
  <si>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</si>
  <si>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</si>
  <si>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</si>
  <si>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</si>
  <si>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</si>
  <si>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</si>
  <si>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</si>
  <si>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</si>
  <si>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</si>
  <si>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</si>
  <si>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</si>
  <si>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</si>
  <si>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</si>
  <si>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</si>
  <si>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</si>
  <si>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</si>
  <si>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</si>
  <si>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</si>
  <si>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</si>
  <si>
    <t>Gasolina Comum - Posto Ipiranga - Praca Novo Eldorado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</si>
</sst>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7.9192345087993106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8.468551967591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8.468552430553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6-21T00:00:00" count="18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d v="2025-06-10T00:00:00"/>
        <d v="2025-06-16T00:00:00"/>
        <d v="2025-06-20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1593"/>
    </cacheField>
    <cacheField name="Km percorridos" numFmtId="164">
      <sharedItems containsString="0" containsBlank="1" containsNumber="1" containsInteger="1" minValue="131" maxValue="36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28.468552430553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0"/>
    <x v="0"/>
    <x v="0"/>
    <s v="Gasolina Comum - Posto BR 18º - Batalhao"/>
    <n v="243.61"/>
    <n v="5.99"/>
    <n v="40.669449081803009"/>
    <n v="90960"/>
    <n v="320"/>
  </r>
  <r>
    <x v="14"/>
    <x v="0"/>
    <x v="0"/>
    <x v="0"/>
    <s v="Gasolina Comum - Posto BR 18º - Batalhao"/>
    <n v="259.56"/>
    <n v="6.39"/>
    <n v="40.619718309859159"/>
    <n v="91284"/>
    <n v="324"/>
  </r>
  <r>
    <x v="15"/>
    <x v="0"/>
    <x v="0"/>
    <x v="0"/>
    <s v="Gasolina Comum - Posto Ipiranga - Praca Novo Eldorado"/>
    <n v="266.08"/>
    <n v="6.39"/>
    <n v="41.640062597809077"/>
    <n v="91593"/>
    <n v="309"/>
  </r>
  <r>
    <x v="16"/>
    <x v="1"/>
    <x v="1"/>
    <x v="1"/>
    <m/>
    <m/>
    <m/>
    <m/>
    <m/>
    <m/>
  </r>
  <r>
    <x v="16"/>
    <x v="1"/>
    <x v="1"/>
    <x v="1"/>
    <m/>
    <m/>
    <m/>
    <m/>
    <m/>
    <m/>
  </r>
  <r>
    <x v="16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30" firstHeaderRow="1" firstDataRow="2" firstDataCol="2"/>
  <pivotFields count="12">
    <pivotField axis="axisRow" compact="0" numFmtId="14" outline="0" showAll="0">
      <items count="19">
        <item x="0"/>
        <item x="16"/>
        <item x="1"/>
        <item x="2"/>
        <item x="3"/>
        <item x="4"/>
        <item x="5"/>
        <item x="6"/>
        <item x="7"/>
        <item x="8"/>
        <item x="9"/>
        <item x="10"/>
        <item x="11"/>
        <item m="1" x="17"/>
        <item x="12"/>
        <item x="13"/>
        <item x="14"/>
        <item x="15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7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9">
        <item x="0"/>
        <item h="1" x="16"/>
        <item x="1"/>
        <item x="2"/>
        <item x="3"/>
        <item x="4"/>
        <item x="5"/>
        <item x="6"/>
        <item x="7"/>
        <item x="8"/>
        <item x="9"/>
        <item x="10"/>
        <item x="11"/>
        <item m="1" x="17"/>
        <item x="12"/>
        <item x="13"/>
        <item x="14"/>
        <item x="15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5" sqref="A35"/>
    </sheetView>
  </sheetViews>
  <sheetFormatPr defaultRowHeight="14.4" x14ac:dyDescent="0.3"/>
  <cols>
    <col min="1" max="1" width="47.88671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144</v>
      </c>
    </row>
    <row r="31" spans="1:4" x14ac:dyDescent="0.3">
      <c r="A31" t="s">
        <v>145</v>
      </c>
    </row>
    <row r="32" spans="1:4" x14ac:dyDescent="0.3">
      <c r="A32" t="s">
        <v>148</v>
      </c>
    </row>
    <row r="33" spans="1:1" x14ac:dyDescent="0.3">
      <c r="A33" t="s">
        <v>149</v>
      </c>
    </row>
    <row r="34" spans="1:1" x14ac:dyDescent="0.3">
      <c r="A34" t="s">
        <v>146</v>
      </c>
    </row>
    <row r="35" spans="1:1" x14ac:dyDescent="0.3">
      <c r="A35" t="s">
        <v>147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topLeftCell="C1" workbookViewId="0">
      <pane ySplit="4" topLeftCell="A8" activePane="bottomLeft" state="frozen"/>
      <selection pane="bottomLeft" activeCell="J25" sqref="J25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6.88671875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144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145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145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145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145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148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148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>
        <v>45818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148</v>
      </c>
      <c r="F21" s="17">
        <v>243.61</v>
      </c>
      <c r="G21" s="17">
        <v>5.99</v>
      </c>
      <c r="H21" s="22">
        <f>Tabela4[[#This Row],[Custo total R$]]/Tabela4[[#This Row],[Preço por litro]]</f>
        <v>40.669449081803009</v>
      </c>
      <c r="I21" s="25">
        <v>90960</v>
      </c>
      <c r="J21" s="24">
        <v>320</v>
      </c>
    </row>
    <row r="22" spans="1:10" x14ac:dyDescent="0.3">
      <c r="A22" s="23">
        <v>45824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148</v>
      </c>
      <c r="F22" s="17">
        <v>259.56</v>
      </c>
      <c r="G22" s="17">
        <v>6.39</v>
      </c>
      <c r="H22" s="22">
        <f>Tabela4[[#This Row],[Custo total R$]]/Tabela4[[#This Row],[Preço por litro]]</f>
        <v>40.619718309859159</v>
      </c>
      <c r="I22" s="25">
        <v>91284</v>
      </c>
      <c r="J22" s="24">
        <v>324</v>
      </c>
    </row>
    <row r="23" spans="1:10" x14ac:dyDescent="0.3">
      <c r="A23" s="23">
        <v>45828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149</v>
      </c>
      <c r="F23" s="17">
        <v>266.08</v>
      </c>
      <c r="G23" s="17">
        <v>6.39</v>
      </c>
      <c r="H23" s="22">
        <f>Tabela4[[#This Row],[Custo total R$]]/Tabela4[[#This Row],[Preço por litro]]</f>
        <v>41.640062597809077</v>
      </c>
      <c r="I23" s="25">
        <v>91593</v>
      </c>
      <c r="J23" s="24">
        <v>309</v>
      </c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abSelected="1" topLeftCell="C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30"/>
  <sheetViews>
    <sheetView showGridLines="0" workbookViewId="0">
      <pane ySplit="4" topLeftCell="A10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7.9192345087993106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7.9192345087993106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x14ac:dyDescent="0.3">
      <c r="A22" s="34"/>
      <c r="B22" s="34"/>
      <c r="C22" s="99">
        <v>45791</v>
      </c>
      <c r="D22" s="102">
        <v>253.15</v>
      </c>
      <c r="E22" s="103">
        <v>354</v>
      </c>
      <c r="F22" s="102">
        <v>0.71511299435028253</v>
      </c>
      <c r="G22" s="86">
        <v>8.2364605964842976</v>
      </c>
    </row>
    <row r="23" spans="1:11" x14ac:dyDescent="0.3">
      <c r="A23" s="34"/>
      <c r="B23" s="34"/>
      <c r="C23" s="99">
        <v>45794</v>
      </c>
      <c r="D23" s="102">
        <v>219.46</v>
      </c>
      <c r="E23" s="103">
        <v>304</v>
      </c>
      <c r="F23" s="102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99">
        <v>45799</v>
      </c>
      <c r="D24" s="102">
        <v>248.15</v>
      </c>
      <c r="E24" s="103">
        <v>304</v>
      </c>
      <c r="F24" s="102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99">
        <v>45806</v>
      </c>
      <c r="D25" s="102">
        <v>249.84</v>
      </c>
      <c r="E25" s="103">
        <v>352</v>
      </c>
      <c r="F25" s="102">
        <v>0.70977272727272733</v>
      </c>
      <c r="G25" s="86">
        <v>8.4393211655459499</v>
      </c>
    </row>
    <row r="26" spans="1:11" x14ac:dyDescent="0.3">
      <c r="A26" s="34"/>
      <c r="B26" s="34"/>
      <c r="C26" s="99">
        <v>45812</v>
      </c>
      <c r="D26" s="102">
        <v>260.68</v>
      </c>
      <c r="E26" s="103">
        <v>360</v>
      </c>
      <c r="F26" s="102">
        <v>0.72411111111111115</v>
      </c>
      <c r="G26" s="86">
        <v>8.2722111400951359</v>
      </c>
    </row>
    <row r="27" spans="1:11" x14ac:dyDescent="0.3">
      <c r="B27" s="34"/>
      <c r="C27" s="99">
        <v>45818</v>
      </c>
      <c r="D27" s="102">
        <v>243.61</v>
      </c>
      <c r="E27" s="103">
        <v>320</v>
      </c>
      <c r="F27" s="102">
        <v>0.76128125000000002</v>
      </c>
      <c r="G27" s="86">
        <v>7.8683141086162305</v>
      </c>
    </row>
    <row r="28" spans="1:11" x14ac:dyDescent="0.3">
      <c r="B28" s="34"/>
      <c r="C28" s="99">
        <v>45824</v>
      </c>
      <c r="D28" s="102">
        <v>259.56</v>
      </c>
      <c r="E28" s="103">
        <v>324</v>
      </c>
      <c r="F28" s="102">
        <v>0.80111111111111111</v>
      </c>
      <c r="G28" s="86">
        <v>7.9764216366158101</v>
      </c>
    </row>
    <row r="29" spans="1:11" x14ac:dyDescent="0.3">
      <c r="B29" s="34"/>
      <c r="C29" s="99">
        <v>45828</v>
      </c>
      <c r="D29" s="102">
        <v>266.08</v>
      </c>
      <c r="E29" s="103">
        <v>309</v>
      </c>
      <c r="F29" s="102">
        <v>0.86110032362459543</v>
      </c>
      <c r="G29" s="86">
        <v>7.4207381238725194</v>
      </c>
    </row>
    <row r="30" spans="1:11" ht="15" thickBot="1" x14ac:dyDescent="0.35">
      <c r="B30" s="36" t="s">
        <v>102</v>
      </c>
      <c r="C30" s="37"/>
      <c r="D30" s="38">
        <v>3894.42</v>
      </c>
      <c r="E30" s="104">
        <v>5075</v>
      </c>
      <c r="F30" s="38">
        <v>0.7673733990147783</v>
      </c>
      <c r="G30" s="49">
        <v>7.9192345087993106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2025-06-20T14:16:38Z</dcterms:modified>
  <cp:category/>
  <cp:contentStatus/>
</cp:coreProperties>
</file>
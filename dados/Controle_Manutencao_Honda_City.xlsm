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A4A5A156-5631-4004-82A6-8D58B3574757}" xr6:coauthVersionLast="47" xr6:coauthVersionMax="47" xr10:uidLastSave="{00000000-0000-0000-0000-000000000000}"/>
  <bookViews>
    <workbookView xWindow="-108" yWindow="-108" windowWidth="23256" windowHeight="12576" tabRatio="840" firstSheet="2" activeTab="3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9" r:id="rId12"/>
    <pivotCache cacheId="16" r:id="rId13"/>
    <pivotCache cacheId="24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" i="5" l="1"/>
  <c r="C26" i="5"/>
  <c r="D26" i="5"/>
  <c r="H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J25" i="5"/>
  <c r="H25" i="5"/>
  <c r="D25" i="5"/>
  <c r="C25" i="5"/>
  <c r="J24" i="5"/>
  <c r="H24" i="5"/>
  <c r="D24" i="5"/>
  <c r="C24" i="5"/>
  <c r="H23" i="5"/>
  <c r="D23" i="5"/>
  <c r="C23" i="5"/>
  <c r="H22" i="5"/>
  <c r="D22" i="5"/>
  <c r="C22" i="5"/>
  <c r="H21" i="5"/>
  <c r="D21" i="5"/>
  <c r="C21" i="5"/>
  <c r="H20" i="5"/>
  <c r="D20" i="5"/>
  <c r="C20" i="5"/>
  <c r="H19" i="5"/>
  <c r="D19" i="5"/>
  <c r="C19" i="5"/>
  <c r="H18" i="5"/>
  <c r="D18" i="5"/>
  <c r="C18" i="5"/>
  <c r="H17" i="5"/>
  <c r="D17" i="5"/>
  <c r="C17" i="5"/>
  <c r="H16" i="5"/>
  <c r="D16" i="5"/>
  <c r="C16" i="5"/>
  <c r="C15" i="5"/>
  <c r="H15" i="5"/>
  <c r="D15" i="5"/>
  <c r="H14" i="5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<sst xmlns="http://schemas.openxmlformats.org/spreadsheetml/2006/main" count="453" uniqueCount="150">
  <si>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</si>
  <si>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</si>
  <si>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</si>
  <si>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</si>
  <si>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</si>
  <si>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</si>
  <si>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</si>
  <si>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</si>
  <si>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</si>
  <si>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</si>
  <si>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</si>
  <si>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</si>
  <si>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</si>
  <si>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</si>
  <si>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</si>
  <si>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</si>
  <si>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</si>
  <si>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</si>
  <si>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</si>
  <si>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</si>
  <si>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</si>
  <si>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</si>
  <si>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</si>
  <si>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</si>
  <si>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</si>
  <si>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</si>
  <si>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</si>
  <si>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</si>
  <si>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</si>
  <si>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</si>
  <si>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</si>
  <si>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</si>
  <si>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</si>
  <si>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</si>
  <si>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</si>
  <si>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</si>
  <si>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</si>
  <si>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</si>
  <si>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</si>
  <si>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</si>
  <si>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</si>
  <si>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</si>
  <si>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</si>
  <si>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</si>
  <si>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</si>
  <si>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</si>
  <si>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</si>
  <si>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</si>
  <si>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</si>
  <si>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</si>
  <si>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</si>
  <si>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</si>
  <si>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</si>
  <si>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</si>
  <si>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</si>
  <si>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</si>
  <si>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</si>
  <si>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</si>
  <si>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</si>
  <si>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</si>
  <si>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</si>
  <si>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</si>
  <si>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</si>
  <si>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</si>
  <si>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</si>
  <si>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</si>
  <si>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</si>
  <si>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</si>
  <si>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</si>
  <si>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</si>
  <si>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</si>
  <si>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</si>
  <si>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</si>
  <si>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</si>
  <si>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</si>
  <si>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</si>
  <si>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</si>
  <si>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</si>
  <si>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</si>
  <si>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</si>
  <si>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</si>
  <si>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</si>
  <si>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</si>
  <si>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</si>
  <si>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</si>
  <si>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</si>
  <si>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</si>
  <si>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</si>
  <si>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</si>
  <si>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</si>
  <si>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</si>
  <si>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</si>
  <si>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</si>
  <si>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</si>
  <si>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</si>
  <si>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</si>
  <si>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</si>
  <si>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</si>
  <si>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</si>
  <si>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</si>
  <si>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</si>
  <si>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</si>
  <si>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</si>
  <si>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</si>
  <si>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</si>
  <si>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</si>
  <si>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</si>
  <si>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</si>
  <si>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</si>
  <si>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</si>
  <si>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</si>
  <si>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</si>
  <si>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</si>
  <si>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</si>
  <si>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</si>
  <si>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</si>
  <si>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</si>
  <si>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</si>
  <si>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</si>
  <si>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</si>
  <si>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</si>
  <si>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</si>
  <si>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</si>
  <si>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</si>
  <si>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</si>
  <si>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</si>
  <si>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</si>
  <si>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</si>
  <si>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</si>
  <si>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</si>
  <si>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</si>
  <si>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</si>
  <si>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</si>
  <si>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</si>
  <si>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</si>
  <si>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</si>
  <si>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</si>
  <si>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</si>
  <si>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</si>
  <si>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</si>
  <si>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</si>
  <si>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</si>
  <si>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</si>
  <si>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</si>
  <si>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Gasolina Comum - Posto Shell Pica Pau</t>
  </si>
  <si>
    <t>Gasolina Comum - Posto Ipiranga Rio Comprido</t>
  </si>
  <si>
    <t>Posto Amigo 11</t>
  </si>
  <si>
    <t>Posto Amigo 12</t>
  </si>
  <si>
    <t>Gasolina Comum - Posto BR 18º - Batalhao</t>
  </si>
  <si>
    <t>Gasolina Comum - Posto Ipiranga - Praca Novo Eldorado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</si>
</sst>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3"/>
      <name val="Calibri"/>
      <scheme val="minor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20" fillId="0" borderId="0" xfId="0" applyNumberFormat="1" applyFont="1" applyAlignment="1">
      <alignment horizontal="left"/>
    </xf>
    <xf numFmtId="0" fontId="20" fillId="0" borderId="0" xfId="0" applyNumberFormat="1" applyFont="1" applyAlignment="1">
      <alignment horizontal="center"/>
    </xf>
    <xf numFmtId="44" fontId="21" fillId="0" borderId="0" xfId="2" applyFont="1"/>
    <xf numFmtId="4" fontId="20" fillId="0" borderId="0" xfId="0" applyNumberFormat="1" applyFont="1"/>
    <xf numFmtId="164" fontId="20" fillId="0" borderId="0" xfId="1" applyNumberFormat="1" applyFont="1"/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4" fontId="0" fillId="0" borderId="0" xfId="0" applyNumberFormat="1" applyBorder="1"/>
    <xf numFmtId="0" fontId="0" fillId="0" borderId="0" xfId="0" applyNumberFormat="1"/>
    <xf numFmtId="165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65" fontId="4" fillId="0" borderId="0" xfId="0" applyNumberFormat="1" applyFont="1" applyBorder="1"/>
    <xf numFmtId="0" fontId="4" fillId="0" borderId="0" xfId="0" applyFon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8.0785595208857668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58.573432175923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58.573432407407" createdVersion="5" refreshedVersion="8" minRefreshableVersion="3" recordCount="27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7-17T00:00:00" count="21">
        <d v="2025-03-28T00:00:00"/>
        <d v="2025-04-06T00:00:00"/>
        <d v="2025-04-09T00:00:00"/>
        <d v="2025-04-12T00:00:00"/>
        <d v="2025-04-17T00:00:00"/>
        <d v="2025-04-23T00:00:00"/>
        <d v="2025-04-26T00:00:00"/>
        <d v="2025-05-03T00:00:00"/>
        <d v="2025-05-14T00:00:00"/>
        <d v="2025-05-17T00:00:00"/>
        <d v="2025-05-22T00:00:00"/>
        <d v="2025-05-29T00:00:00"/>
        <d v="2025-06-04T00:00:00"/>
        <d v="2025-06-10T00:00:00"/>
        <d v="2025-06-16T00:00:00"/>
        <d v="2025-06-20T00:00:00"/>
        <d v="2025-06-27T00:00:00"/>
        <d v="2025-07-06T00:00:00"/>
        <d v="2025-07-16T00:00:00"/>
        <m/>
        <d v="2025-06-05T00:00:00" u="1"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4">
        <s v="CITY SEDAN EX 1.5 FLEX 16V 4P AUTOMATICO"/>
        <s v=""/>
        <m/>
        <s v="CITY SEDAN EX 1.5 FLEX 16V 4P AUT." u="1"/>
      </sharedItems>
    </cacheField>
    <cacheField name="Fabricante" numFmtId="0">
      <sharedItems containsBlank="1" count="3">
        <s v="HONDA"/>
        <s v="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92663"/>
    </cacheField>
    <cacheField name="Km percorridos" numFmtId="164">
      <sharedItems containsString="0" containsBlank="1" containsNumber="1" containsInteger="1" minValue="131" maxValue="422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58.573432523146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0"/>
    <x v="0"/>
    <x v="0"/>
    <s v="Gasolina Comum - Posto Ipiranga Rio Comprido"/>
    <n v="250.44"/>
    <n v="5.97"/>
    <n v="41.949748743718594"/>
    <n v="88966"/>
    <n v="337"/>
  </r>
  <r>
    <x v="8"/>
    <x v="0"/>
    <x v="0"/>
    <x v="0"/>
    <s v="Gasolina Comum - Posto Ipiranga Rio Comprido"/>
    <n v="253.15"/>
    <n v="5.89"/>
    <n v="42.979626485568765"/>
    <n v="89320"/>
    <n v="354"/>
  </r>
  <r>
    <x v="9"/>
    <x v="0"/>
    <x v="0"/>
    <x v="0"/>
    <s v="Gasolina Comum - Posto Ipiranga Rio Comprido"/>
    <n v="219.46"/>
    <n v="5.89"/>
    <n v="37.259762308998305"/>
    <n v="89624"/>
    <n v="304"/>
  </r>
  <r>
    <x v="10"/>
    <x v="0"/>
    <x v="0"/>
    <x v="0"/>
    <s v="Gasolina Comum - Posto Ipiranga Rio Comprido"/>
    <n v="248.15"/>
    <n v="5.89"/>
    <n v="42.130730050933792"/>
    <n v="89928"/>
    <n v="304"/>
  </r>
  <r>
    <x v="11"/>
    <x v="0"/>
    <x v="0"/>
    <x v="0"/>
    <s v="Gasolina Comum - Posto BR 18º - Batalhao"/>
    <n v="249.84"/>
    <n v="5.99"/>
    <n v="41.709515859766277"/>
    <n v="90280"/>
    <n v="352"/>
  </r>
  <r>
    <x v="12"/>
    <x v="0"/>
    <x v="0"/>
    <x v="0"/>
    <s v="Gasolina Comum - Posto BR 18º - Batalhao"/>
    <n v="260.68"/>
    <n v="5.99"/>
    <n v="43.519198664440736"/>
    <n v="90640"/>
    <n v="360"/>
  </r>
  <r>
    <x v="13"/>
    <x v="0"/>
    <x v="0"/>
    <x v="0"/>
    <s v="Gasolina Comum - Posto BR 18º - Batalhao"/>
    <n v="243.61"/>
    <n v="5.99"/>
    <n v="40.669449081803009"/>
    <n v="90960"/>
    <n v="320"/>
  </r>
  <r>
    <x v="14"/>
    <x v="0"/>
    <x v="0"/>
    <x v="0"/>
    <s v="Gasolina Comum - Posto BR 18º - Batalhao"/>
    <n v="259.56"/>
    <n v="6.39"/>
    <n v="40.619718309859159"/>
    <n v="91284"/>
    <n v="324"/>
  </r>
  <r>
    <x v="15"/>
    <x v="0"/>
    <x v="0"/>
    <x v="0"/>
    <s v="Gasolina Comum - Posto Ipiranga - Praca Novo Eldorado"/>
    <n v="266.08"/>
    <n v="6.39"/>
    <n v="41.640062597809077"/>
    <n v="91593"/>
    <n v="309"/>
  </r>
  <r>
    <x v="16"/>
    <x v="0"/>
    <x v="0"/>
    <x v="0"/>
    <s v="Gasolina Comum - Posto Ipiranga - Praca Novo Eldorado"/>
    <n v="266.52999999999997"/>
    <n v="6.39"/>
    <n v="41.710485133020342"/>
    <n v="91949"/>
    <n v="356"/>
  </r>
  <r>
    <x v="17"/>
    <x v="0"/>
    <x v="0"/>
    <x v="0"/>
    <s v="Gasolina Comum - Posto Ipiranga - Praca Novo Eldorado"/>
    <n v="241.73"/>
    <n v="6.39"/>
    <n v="37.829420970266042"/>
    <n v="92241"/>
    <n v="292"/>
  </r>
  <r>
    <x v="18"/>
    <x v="0"/>
    <x v="0"/>
    <x v="0"/>
    <s v="Gasolina Comum - Posto Ipiranga - Praca Novo Eldorado"/>
    <n v="257.33"/>
    <n v="6.39"/>
    <n v="40.270735524256651"/>
    <n v="92663"/>
    <n v="422"/>
  </r>
  <r>
    <x v="19"/>
    <x v="1"/>
    <x v="1"/>
    <x v="1"/>
    <m/>
    <m/>
    <m/>
    <m/>
    <m/>
    <m/>
  </r>
  <r>
    <x v="19"/>
    <x v="1"/>
    <x v="1"/>
    <x v="1"/>
    <m/>
    <m/>
    <m/>
    <m/>
    <m/>
    <m/>
  </r>
  <r>
    <x v="19"/>
    <x v="1"/>
    <x v="1"/>
    <x v="1"/>
    <m/>
    <m/>
    <m/>
    <m/>
    <m/>
    <m/>
  </r>
  <r>
    <x v="19"/>
    <x v="1"/>
    <x v="1"/>
    <x v="1"/>
    <m/>
    <m/>
    <m/>
    <m/>
    <m/>
    <m/>
  </r>
  <r>
    <x v="19"/>
    <x v="1"/>
    <x v="1"/>
    <x v="1"/>
    <m/>
    <m/>
    <m/>
    <m/>
    <m/>
    <m/>
  </r>
  <r>
    <x v="19"/>
    <x v="1"/>
    <x v="1"/>
    <x v="1"/>
    <m/>
    <m/>
    <m/>
    <m/>
    <m/>
    <m/>
  </r>
  <r>
    <x v="19"/>
    <x v="1"/>
    <x v="1"/>
    <x v="1"/>
    <m/>
    <m/>
    <m/>
    <m/>
    <m/>
    <m/>
  </r>
  <r>
    <x v="19"/>
    <x v="1"/>
    <x v="2"/>
    <x v="2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6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33" firstHeaderRow="1" firstDataRow="2" firstDataCol="2"/>
  <pivotFields count="12">
    <pivotField axis="axisRow" compact="0" numFmtId="14" outline="0" showAll="0">
      <items count="22">
        <item x="0"/>
        <item x="19"/>
        <item x="1"/>
        <item x="2"/>
        <item x="3"/>
        <item x="4"/>
        <item x="5"/>
        <item x="6"/>
        <item x="7"/>
        <item x="8"/>
        <item x="9"/>
        <item x="10"/>
        <item x="11"/>
        <item m="1" x="20"/>
        <item x="12"/>
        <item x="13"/>
        <item x="14"/>
        <item x="15"/>
        <item x="16"/>
        <item x="17"/>
        <item x="18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3">
        <item x="1"/>
        <item x="0"/>
        <item x="2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20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6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22">
        <item x="0"/>
        <item h="1" x="19"/>
        <item x="1"/>
        <item x="2"/>
        <item x="3"/>
        <item x="4"/>
        <item x="5"/>
        <item x="6"/>
        <item x="7"/>
        <item x="8"/>
        <item x="9"/>
        <item x="10"/>
        <item x="11"/>
        <item m="1" x="20"/>
        <item x="12"/>
        <item x="13"/>
        <item x="14"/>
        <item x="15"/>
        <item x="16"/>
        <item x="17"/>
        <item x="18"/>
        <item t="default"/>
      </items>
    </pivotField>
    <pivotField showAll="0"/>
    <pivotField axis="axisRow" showAll="0">
      <items count="5">
        <item h="1" m="1" x="3"/>
        <item h="1" x="2"/>
        <item x="0"/>
        <item h="1" x="1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24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9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3">
        <i x="0" s="1"/>
        <i x="1" s="1" nd="1"/>
        <i x="2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5" totalsRowShown="0" headerRowDxfId="52">
  <autoFilter ref="A23:A35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34" totalsRowShown="0" headerRowDxfId="49">
  <autoFilter ref="A7:J34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5"/>
  <sheetViews>
    <sheetView showGridLines="0" workbookViewId="0">
      <pane ySplit="4" topLeftCell="A17" activePane="bottomLeft" state="frozen"/>
      <selection pane="bottomLeft" activeCell="A35" sqref="A35"/>
    </sheetView>
  </sheetViews>
  <sheetFormatPr defaultRowHeight="14.4" x14ac:dyDescent="0.3"/>
  <cols>
    <col min="1" max="1" width="47.88671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144</v>
      </c>
    </row>
    <row r="31" spans="1:4" x14ac:dyDescent="0.3">
      <c r="A31" t="s">
        <v>145</v>
      </c>
    </row>
    <row r="32" spans="1:4" x14ac:dyDescent="0.3">
      <c r="A32" t="s">
        <v>148</v>
      </c>
    </row>
    <row r="33" spans="1:1" x14ac:dyDescent="0.3">
      <c r="A33" t="s">
        <v>149</v>
      </c>
    </row>
    <row r="34" spans="1:1" x14ac:dyDescent="0.3">
      <c r="A34" t="s">
        <v>146</v>
      </c>
    </row>
    <row r="35" spans="1:1" x14ac:dyDescent="0.3">
      <c r="A35" t="s">
        <v>147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34"/>
  <sheetViews>
    <sheetView showGridLines="0" tabSelected="1" workbookViewId="0">
      <pane ySplit="4" topLeftCell="A17" activePane="bottomLeft" state="frozen"/>
      <selection pane="bottomLeft" activeCell="H33" sqref="H33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34.33203125" customWidth="1"/>
    <col min="6" max="6" width="17.88671875" customWidth="1"/>
    <col min="7" max="7" width="14.6640625" customWidth="1"/>
    <col min="8" max="8" width="16.77734375" customWidth="1"/>
    <col min="9" max="9" width="23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144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>
        <v>45780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145</v>
      </c>
      <c r="F15" s="17">
        <v>250.44</v>
      </c>
      <c r="G15" s="17">
        <v>5.97</v>
      </c>
      <c r="H15" s="22">
        <f>Tabela4[[#This Row],[Custo total R$]]/Tabela4[[#This Row],[Preço por litro]]</f>
        <v>41.949748743718594</v>
      </c>
      <c r="I15" s="25">
        <v>88966</v>
      </c>
      <c r="J15" s="24">
        <v>337</v>
      </c>
    </row>
    <row r="16" spans="1:13" x14ac:dyDescent="0.3">
      <c r="A16" s="23">
        <v>45791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145</v>
      </c>
      <c r="F16" s="17">
        <v>253.15</v>
      </c>
      <c r="G16" s="17">
        <v>5.89</v>
      </c>
      <c r="H16" s="22">
        <f>Tabela4[[#This Row],[Custo total R$]]/Tabela4[[#This Row],[Preço por litro]]</f>
        <v>42.979626485568765</v>
      </c>
      <c r="I16" s="25">
        <v>89320</v>
      </c>
      <c r="J16" s="24">
        <v>354</v>
      </c>
    </row>
    <row r="17" spans="1:10" x14ac:dyDescent="0.3">
      <c r="A17" s="23">
        <v>45794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145</v>
      </c>
      <c r="F17" s="17">
        <v>219.46</v>
      </c>
      <c r="G17" s="17">
        <v>5.89</v>
      </c>
      <c r="H17" s="22">
        <f>Tabela4[[#This Row],[Custo total R$]]/Tabela4[[#This Row],[Preço por litro]]</f>
        <v>37.259762308998305</v>
      </c>
      <c r="I17" s="25">
        <v>89624</v>
      </c>
      <c r="J17" s="24">
        <v>304</v>
      </c>
    </row>
    <row r="18" spans="1:10" x14ac:dyDescent="0.3">
      <c r="A18" s="23">
        <v>45799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145</v>
      </c>
      <c r="F18" s="17">
        <v>248.15</v>
      </c>
      <c r="G18" s="17">
        <v>5.89</v>
      </c>
      <c r="H18" s="22">
        <f>Tabela4[[#This Row],[Custo total R$]]/Tabela4[[#This Row],[Preço por litro]]</f>
        <v>42.130730050933792</v>
      </c>
      <c r="I18" s="25">
        <v>89928</v>
      </c>
      <c r="J18" s="24">
        <v>304</v>
      </c>
    </row>
    <row r="19" spans="1:10" x14ac:dyDescent="0.3">
      <c r="A19" s="23">
        <v>45806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148</v>
      </c>
      <c r="F19" s="17">
        <v>249.84</v>
      </c>
      <c r="G19" s="17">
        <v>5.99</v>
      </c>
      <c r="H19" s="22">
        <f>Tabela4[[#This Row],[Custo total R$]]/Tabela4[[#This Row],[Preço por litro]]</f>
        <v>41.709515859766277</v>
      </c>
      <c r="I19" s="25">
        <v>90280</v>
      </c>
      <c r="J19" s="24">
        <v>352</v>
      </c>
    </row>
    <row r="20" spans="1:10" x14ac:dyDescent="0.3">
      <c r="A20" s="23">
        <v>45812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148</v>
      </c>
      <c r="F20" s="17">
        <v>260.68</v>
      </c>
      <c r="G20" s="17">
        <v>5.99</v>
      </c>
      <c r="H20" s="22">
        <f>Tabela4[[#This Row],[Custo total R$]]/Tabela4[[#This Row],[Preço por litro]]</f>
        <v>43.519198664440736</v>
      </c>
      <c r="I20" s="25">
        <v>90640</v>
      </c>
      <c r="J20" s="24">
        <v>360</v>
      </c>
    </row>
    <row r="21" spans="1:10" x14ac:dyDescent="0.3">
      <c r="A21" s="23">
        <v>45818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148</v>
      </c>
      <c r="F21" s="17">
        <v>243.61</v>
      </c>
      <c r="G21" s="17">
        <v>5.99</v>
      </c>
      <c r="H21" s="22">
        <f>Tabela4[[#This Row],[Custo total R$]]/Tabela4[[#This Row],[Preço por litro]]</f>
        <v>40.669449081803009</v>
      </c>
      <c r="I21" s="25">
        <v>90960</v>
      </c>
      <c r="J21" s="24">
        <v>320</v>
      </c>
    </row>
    <row r="22" spans="1:10" x14ac:dyDescent="0.3">
      <c r="A22" s="23">
        <v>45824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148</v>
      </c>
      <c r="F22" s="17">
        <v>259.56</v>
      </c>
      <c r="G22" s="17">
        <v>6.39</v>
      </c>
      <c r="H22" s="22">
        <f>Tabela4[[#This Row],[Custo total R$]]/Tabela4[[#This Row],[Preço por litro]]</f>
        <v>40.619718309859159</v>
      </c>
      <c r="I22" s="25">
        <v>91284</v>
      </c>
      <c r="J22" s="24">
        <v>324</v>
      </c>
    </row>
    <row r="23" spans="1:10" x14ac:dyDescent="0.3">
      <c r="A23" s="23">
        <v>45828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149</v>
      </c>
      <c r="F23" s="17">
        <v>266.08</v>
      </c>
      <c r="G23" s="17">
        <v>6.39</v>
      </c>
      <c r="H23" s="22">
        <f>Tabela4[[#This Row],[Custo total R$]]/Tabela4[[#This Row],[Preço por litro]]</f>
        <v>41.640062597809077</v>
      </c>
      <c r="I23" s="25">
        <v>91593</v>
      </c>
      <c r="J23" s="24">
        <v>309</v>
      </c>
    </row>
    <row r="24" spans="1:10" x14ac:dyDescent="0.3">
      <c r="A24" s="23">
        <v>45835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149</v>
      </c>
      <c r="F24" s="17">
        <v>266.52999999999997</v>
      </c>
      <c r="G24" s="17">
        <v>6.39</v>
      </c>
      <c r="H24" s="22">
        <f>Tabela4[[#This Row],[Custo total R$]]/Tabela4[[#This Row],[Preço por litro]]</f>
        <v>41.710485133020342</v>
      </c>
      <c r="I24" s="25">
        <v>91949</v>
      </c>
      <c r="J24" s="24">
        <f>I24-I23</f>
        <v>356</v>
      </c>
    </row>
    <row r="25" spans="1:10" x14ac:dyDescent="0.3">
      <c r="A25" s="23">
        <v>45844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149</v>
      </c>
      <c r="F25" s="17">
        <v>241.73</v>
      </c>
      <c r="G25" s="17">
        <v>6.39</v>
      </c>
      <c r="H25" s="22">
        <f>Tabela4[[#This Row],[Custo total R$]]/Tabela4[[#This Row],[Preço por litro]]</f>
        <v>37.829420970266042</v>
      </c>
      <c r="I25" s="25">
        <v>92241</v>
      </c>
      <c r="J25" s="24">
        <f>I25-I24</f>
        <v>292</v>
      </c>
    </row>
    <row r="26" spans="1:10" x14ac:dyDescent="0.3">
      <c r="A26" s="23">
        <v>45854</v>
      </c>
      <c r="B26" s="81" t="s">
        <v>143</v>
      </c>
      <c r="C26" s="97" t="str">
        <f>IFERROR(VLOOKUP(B26,'2. CADASTRO DE VEÍCULOS'!B:D,3,0),"")</f>
        <v>CITY SEDAN EX 1.5 FLEX 16V 4P AUTOMATICO</v>
      </c>
      <c r="D26" s="98" t="str">
        <f>IFERROR(VLOOKUP(B26,'2. CADASTRO DE VEÍCULOS'!B:C,2,0),"")</f>
        <v>HONDA</v>
      </c>
      <c r="E26" t="s">
        <v>149</v>
      </c>
      <c r="F26" s="17">
        <v>257.33</v>
      </c>
      <c r="G26" s="17">
        <v>6.39</v>
      </c>
      <c r="H26" s="100">
        <f>Tabela4[[#This Row],[Custo total R$]]/Tabela4[[#This Row],[Preço por litro]]</f>
        <v>40.270735524256651</v>
      </c>
      <c r="I26" s="25">
        <v>92663</v>
      </c>
      <c r="J26" s="24">
        <f>I26-I25</f>
        <v>422</v>
      </c>
    </row>
    <row r="27" spans="1:10" x14ac:dyDescent="0.3">
      <c r="A27" s="23"/>
      <c r="B27" s="81"/>
      <c r="C27" s="97" t="str">
        <f>IFERROR(VLOOKUP(B27,'2. CADASTRO DE VEÍCULOS'!B:D,3,0),"")</f>
        <v/>
      </c>
      <c r="D27" s="98" t="str">
        <f>IFERROR(VLOOKUP(B27,'2. CADASTRO DE VEÍCULOS'!B:C,2,0),"")</f>
        <v/>
      </c>
      <c r="F27" s="99"/>
      <c r="G27" s="17"/>
      <c r="H27" s="100"/>
      <c r="I27" s="25"/>
      <c r="J27" s="101"/>
    </row>
    <row r="28" spans="1:10" x14ac:dyDescent="0.3">
      <c r="A28" s="23"/>
      <c r="B28" s="81"/>
      <c r="C28" s="97" t="str">
        <f>IFERROR(VLOOKUP(B28,'2. CADASTRO DE VEÍCULOS'!B:D,3,0),"")</f>
        <v/>
      </c>
      <c r="D28" s="98" t="str">
        <f>IFERROR(VLOOKUP(B28,'2. CADASTRO DE VEÍCULOS'!B:C,2,0),"")</f>
        <v/>
      </c>
      <c r="F28" s="99"/>
      <c r="G28" s="17"/>
      <c r="H28" s="100"/>
      <c r="I28" s="25"/>
      <c r="J28" s="101"/>
    </row>
    <row r="29" spans="1:10" x14ac:dyDescent="0.3">
      <c r="A29" s="23"/>
      <c r="B29" s="81"/>
      <c r="C29" s="97" t="str">
        <f>IFERROR(VLOOKUP(B29,'2. CADASTRO DE VEÍCULOS'!B:D,3,0),"")</f>
        <v/>
      </c>
      <c r="D29" s="98" t="str">
        <f>IFERROR(VLOOKUP(B29,'2. CADASTRO DE VEÍCULOS'!B:C,2,0),"")</f>
        <v/>
      </c>
      <c r="F29" s="99"/>
      <c r="G29" s="17"/>
      <c r="H29" s="100"/>
      <c r="I29" s="25"/>
      <c r="J29" s="101"/>
    </row>
    <row r="30" spans="1:10" x14ac:dyDescent="0.3">
      <c r="A30" s="23"/>
      <c r="B30" s="81"/>
      <c r="C30" s="97" t="str">
        <f>IFERROR(VLOOKUP(B30,'2. CADASTRO DE VEÍCULOS'!B:D,3,0),"")</f>
        <v/>
      </c>
      <c r="D30" s="98" t="str">
        <f>IFERROR(VLOOKUP(B30,'2. CADASTRO DE VEÍCULOS'!B:C,2,0),"")</f>
        <v/>
      </c>
      <c r="F30" s="99"/>
      <c r="G30" s="17"/>
      <c r="H30" s="100"/>
      <c r="I30" s="25"/>
      <c r="J30" s="101"/>
    </row>
    <row r="31" spans="1:10" x14ac:dyDescent="0.3">
      <c r="A31" s="23"/>
      <c r="B31" s="81"/>
      <c r="C31" s="97" t="str">
        <f>IFERROR(VLOOKUP(B31,'2. CADASTRO DE VEÍCULOS'!B:D,3,0),"")</f>
        <v/>
      </c>
      <c r="D31" s="98" t="str">
        <f>IFERROR(VLOOKUP(B31,'2. CADASTRO DE VEÍCULOS'!B:C,2,0),"")</f>
        <v/>
      </c>
      <c r="F31" s="99"/>
      <c r="G31" s="17"/>
      <c r="H31" s="100"/>
      <c r="I31" s="25"/>
      <c r="J31" s="101"/>
    </row>
    <row r="32" spans="1:10" x14ac:dyDescent="0.3">
      <c r="A32" s="23"/>
      <c r="B32" s="81"/>
      <c r="C32" s="97" t="str">
        <f>IFERROR(VLOOKUP(B32,'2. CADASTRO DE VEÍCULOS'!B:D,3,0),"")</f>
        <v/>
      </c>
      <c r="D32" s="98" t="str">
        <f>IFERROR(VLOOKUP(B32,'2. CADASTRO DE VEÍCULOS'!B:C,2,0),"")</f>
        <v/>
      </c>
      <c r="F32" s="99"/>
      <c r="G32" s="17"/>
      <c r="H32" s="100"/>
      <c r="I32" s="25"/>
      <c r="J32" s="101"/>
    </row>
    <row r="33" spans="1:10" x14ac:dyDescent="0.3">
      <c r="A33" s="23"/>
      <c r="B33" s="81"/>
      <c r="C33" s="97" t="str">
        <f>IFERROR(VLOOKUP(B33,'2. CADASTRO DE VEÍCULOS'!B:D,3,0),"")</f>
        <v/>
      </c>
      <c r="D33" s="98" t="str">
        <f>IFERROR(VLOOKUP(B33,'2. CADASTRO DE VEÍCULOS'!B:C,2,0),"")</f>
        <v/>
      </c>
      <c r="F33" s="99"/>
      <c r="G33" s="17"/>
      <c r="H33" s="100"/>
      <c r="I33" s="25"/>
      <c r="J33" s="101"/>
    </row>
    <row r="34" spans="1:10" x14ac:dyDescent="0.3">
      <c r="A34" s="23"/>
      <c r="C34" s="21"/>
      <c r="D34" s="16"/>
      <c r="F34" s="17"/>
      <c r="G34" s="17"/>
      <c r="H34" s="22"/>
      <c r="I34" s="25"/>
      <c r="J34" s="24"/>
    </row>
  </sheetData>
  <phoneticPr fontId="18" type="noConversion"/>
  <dataValidations count="2">
    <dataValidation type="list" allowBlank="1" showInputMessage="1" showErrorMessage="1" sqref="B8:B34" xr:uid="{00000000-0002-0000-0300-000000000000}">
      <formula1>Placa</formula1>
    </dataValidation>
    <dataValidation type="list" allowBlank="1" showInputMessage="1" showErrorMessage="1" sqref="E8:E34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C1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33"/>
  <sheetViews>
    <sheetView showGridLines="0" workbookViewId="0">
      <pane ySplit="4" topLeftCell="A13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6">
        <v>8.0785595208857668</v>
      </c>
    </row>
    <row r="13" spans="1:15" x14ac:dyDescent="0.3">
      <c r="A13" s="34"/>
      <c r="B13" s="40" t="s">
        <v>13</v>
      </c>
      <c r="C13" s="102" t="s">
        <v>42</v>
      </c>
      <c r="D13" s="103" t="s">
        <v>98</v>
      </c>
      <c r="E13" s="103" t="s">
        <v>99</v>
      </c>
      <c r="F13" s="103" t="s">
        <v>100</v>
      </c>
      <c r="G13" s="35" t="s">
        <v>101</v>
      </c>
      <c r="J13" s="111" t="s">
        <v>102</v>
      </c>
      <c r="K13" s="110">
        <v>8.0785595208857668</v>
      </c>
    </row>
    <row r="14" spans="1:15" x14ac:dyDescent="0.3">
      <c r="A14" s="34"/>
      <c r="B14" s="34" t="s">
        <v>143</v>
      </c>
      <c r="C14" s="104">
        <v>45744</v>
      </c>
      <c r="D14" s="107">
        <v>100.01</v>
      </c>
      <c r="E14" s="108">
        <v>131</v>
      </c>
      <c r="F14" s="107">
        <v>0.76343511450381685</v>
      </c>
      <c r="G14" s="86">
        <v>7.9247075292470752</v>
      </c>
    </row>
    <row r="15" spans="1:15" x14ac:dyDescent="0.3">
      <c r="A15" s="34"/>
      <c r="B15" s="34"/>
      <c r="C15" s="104">
        <v>45753</v>
      </c>
      <c r="D15" s="107">
        <v>230.08</v>
      </c>
      <c r="E15" s="108">
        <v>305</v>
      </c>
      <c r="F15" s="107">
        <v>0.75436065573770494</v>
      </c>
      <c r="G15" s="86">
        <v>7.913986439499304</v>
      </c>
    </row>
    <row r="16" spans="1:15" x14ac:dyDescent="0.3">
      <c r="A16" s="34"/>
      <c r="B16" s="34"/>
      <c r="C16" s="104">
        <v>45756</v>
      </c>
      <c r="D16" s="107">
        <v>262.51</v>
      </c>
      <c r="E16" s="108">
        <v>347</v>
      </c>
      <c r="F16" s="107">
        <v>0.75651296829971182</v>
      </c>
      <c r="G16" s="86">
        <v>7.7592853605576932</v>
      </c>
    </row>
    <row r="17" spans="1:11" x14ac:dyDescent="0.3">
      <c r="A17" s="34"/>
      <c r="B17" s="34"/>
      <c r="C17" s="104">
        <v>45759</v>
      </c>
      <c r="D17" s="107">
        <v>249</v>
      </c>
      <c r="E17" s="108">
        <v>320</v>
      </c>
      <c r="F17" s="107">
        <v>0.77812499999999996</v>
      </c>
      <c r="G17" s="86">
        <v>7.697991967871487</v>
      </c>
    </row>
    <row r="18" spans="1:11" x14ac:dyDescent="0.3">
      <c r="A18" s="34"/>
      <c r="B18" s="34"/>
      <c r="C18" s="104">
        <v>45764</v>
      </c>
      <c r="D18" s="107">
        <v>264.92</v>
      </c>
      <c r="E18" s="108">
        <v>306</v>
      </c>
      <c r="F18" s="107">
        <v>0.86575163398692812</v>
      </c>
      <c r="G18" s="86">
        <v>7.4963762645326888</v>
      </c>
    </row>
    <row r="19" spans="1:11" x14ac:dyDescent="0.3">
      <c r="A19" s="34"/>
      <c r="B19" s="34"/>
      <c r="C19" s="104">
        <v>45770</v>
      </c>
      <c r="D19" s="107">
        <v>279.45999999999998</v>
      </c>
      <c r="E19" s="108">
        <v>359</v>
      </c>
      <c r="F19" s="107">
        <v>0.77844011142061276</v>
      </c>
      <c r="G19" s="86">
        <v>8.3371860015744659</v>
      </c>
    </row>
    <row r="20" spans="1:11" x14ac:dyDescent="0.3">
      <c r="A20" s="34"/>
      <c r="B20" s="34"/>
      <c r="C20" s="104">
        <v>45773</v>
      </c>
      <c r="D20" s="107">
        <v>257.47000000000003</v>
      </c>
      <c r="E20" s="108">
        <v>343</v>
      </c>
      <c r="F20" s="107">
        <v>0.75064139941690966</v>
      </c>
      <c r="G20" s="86">
        <v>7.9531984308851502</v>
      </c>
    </row>
    <row r="21" spans="1:11" x14ac:dyDescent="0.3">
      <c r="A21" s="34"/>
      <c r="B21" s="34"/>
      <c r="C21" s="104">
        <v>45780</v>
      </c>
      <c r="D21" s="107">
        <v>250.44</v>
      </c>
      <c r="E21" s="108">
        <v>337</v>
      </c>
      <c r="F21" s="107">
        <v>0.74314540059347178</v>
      </c>
      <c r="G21" s="86">
        <v>8.0334211787254439</v>
      </c>
    </row>
    <row r="22" spans="1:11" x14ac:dyDescent="0.3">
      <c r="A22" s="34"/>
      <c r="B22" s="34"/>
      <c r="C22" s="104">
        <v>45791</v>
      </c>
      <c r="D22" s="107">
        <v>253.15</v>
      </c>
      <c r="E22" s="108">
        <v>354</v>
      </c>
      <c r="F22" s="107">
        <v>0.71511299435028253</v>
      </c>
      <c r="G22" s="86">
        <v>8.2364605964842976</v>
      </c>
    </row>
    <row r="23" spans="1:11" x14ac:dyDescent="0.3">
      <c r="A23" s="34"/>
      <c r="B23" s="34"/>
      <c r="C23" s="104">
        <v>45794</v>
      </c>
      <c r="D23" s="107">
        <v>219.46</v>
      </c>
      <c r="E23" s="108">
        <v>304</v>
      </c>
      <c r="F23" s="107">
        <v>0.72190789473684214</v>
      </c>
      <c r="G23" s="86">
        <v>8.158935569124214</v>
      </c>
      <c r="J23" s="52"/>
      <c r="K23" s="52"/>
    </row>
    <row r="24" spans="1:11" x14ac:dyDescent="0.3">
      <c r="A24" s="34"/>
      <c r="B24" s="34"/>
      <c r="C24" s="104">
        <v>45799</v>
      </c>
      <c r="D24" s="107">
        <v>248.15</v>
      </c>
      <c r="E24" s="108">
        <v>304</v>
      </c>
      <c r="F24" s="107">
        <v>0.81628289473684212</v>
      </c>
      <c r="G24" s="86">
        <v>7.2156357042111612</v>
      </c>
      <c r="J24" s="52"/>
      <c r="K24" s="52"/>
    </row>
    <row r="25" spans="1:11" x14ac:dyDescent="0.3">
      <c r="A25" s="34"/>
      <c r="B25" s="34"/>
      <c r="C25" s="104">
        <v>45806</v>
      </c>
      <c r="D25" s="107">
        <v>249.84</v>
      </c>
      <c r="E25" s="108">
        <v>352</v>
      </c>
      <c r="F25" s="107">
        <v>0.70977272727272733</v>
      </c>
      <c r="G25" s="86">
        <v>8.4393211655459499</v>
      </c>
    </row>
    <row r="26" spans="1:11" x14ac:dyDescent="0.3">
      <c r="A26" s="34"/>
      <c r="B26" s="34"/>
      <c r="C26" s="104">
        <v>45812</v>
      </c>
      <c r="D26" s="107">
        <v>260.68</v>
      </c>
      <c r="E26" s="108">
        <v>360</v>
      </c>
      <c r="F26" s="107">
        <v>0.72411111111111115</v>
      </c>
      <c r="G26" s="86">
        <v>8.2722111400951359</v>
      </c>
    </row>
    <row r="27" spans="1:11" x14ac:dyDescent="0.3">
      <c r="B27" s="34"/>
      <c r="C27" s="104">
        <v>45818</v>
      </c>
      <c r="D27" s="107">
        <v>243.61</v>
      </c>
      <c r="E27" s="108">
        <v>320</v>
      </c>
      <c r="F27" s="107">
        <v>0.76128125000000002</v>
      </c>
      <c r="G27" s="86">
        <v>7.8683141086162305</v>
      </c>
    </row>
    <row r="28" spans="1:11" x14ac:dyDescent="0.3">
      <c r="B28" s="34"/>
      <c r="C28" s="104">
        <v>45824</v>
      </c>
      <c r="D28" s="107">
        <v>259.56</v>
      </c>
      <c r="E28" s="108">
        <v>324</v>
      </c>
      <c r="F28" s="107">
        <v>0.80111111111111111</v>
      </c>
      <c r="G28" s="86">
        <v>7.9764216366158101</v>
      </c>
    </row>
    <row r="29" spans="1:11" x14ac:dyDescent="0.3">
      <c r="B29" s="34"/>
      <c r="C29" s="104">
        <v>45828</v>
      </c>
      <c r="D29" s="107">
        <v>266.08</v>
      </c>
      <c r="E29" s="108">
        <v>309</v>
      </c>
      <c r="F29" s="107">
        <v>0.86110032362459543</v>
      </c>
      <c r="G29" s="86">
        <v>7.4207381238725194</v>
      </c>
    </row>
    <row r="30" spans="1:11" x14ac:dyDescent="0.3">
      <c r="B30" s="34"/>
      <c r="C30" s="104">
        <v>45835</v>
      </c>
      <c r="D30" s="107">
        <v>266.52999999999997</v>
      </c>
      <c r="E30" s="108">
        <v>356</v>
      </c>
      <c r="F30" s="107">
        <v>0.7486797752808988</v>
      </c>
      <c r="G30" s="86">
        <v>8.5350241999024501</v>
      </c>
    </row>
    <row r="31" spans="1:11" x14ac:dyDescent="0.3">
      <c r="B31" s="34"/>
      <c r="C31" s="104">
        <v>45844</v>
      </c>
      <c r="D31" s="107">
        <v>241.73</v>
      </c>
      <c r="E31" s="108">
        <v>292</v>
      </c>
      <c r="F31" s="107">
        <v>0.82784246575342457</v>
      </c>
      <c r="G31" s="86">
        <v>7.7188598849956556</v>
      </c>
    </row>
    <row r="32" spans="1:11" x14ac:dyDescent="0.3">
      <c r="B32" s="34"/>
      <c r="C32" s="104">
        <v>45854</v>
      </c>
      <c r="D32" s="107">
        <v>257.33</v>
      </c>
      <c r="E32" s="108">
        <v>422</v>
      </c>
      <c r="F32" s="107">
        <v>0.6097867298578199</v>
      </c>
      <c r="G32" s="86">
        <v>10.479073563129056</v>
      </c>
    </row>
    <row r="33" spans="2:7" ht="15" thickBot="1" x14ac:dyDescent="0.35">
      <c r="B33" s="36" t="s">
        <v>102</v>
      </c>
      <c r="C33" s="37"/>
      <c r="D33" s="38">
        <v>4660.0099999999993</v>
      </c>
      <c r="E33" s="109">
        <v>6145</v>
      </c>
      <c r="F33" s="38">
        <v>0.75834174125305109</v>
      </c>
      <c r="G33" s="49">
        <v>8.0785595208857668</v>
      </c>
    </row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6">
        <v>4197</v>
      </c>
    </row>
    <row r="11" spans="1:13" x14ac:dyDescent="0.3">
      <c r="A11" s="40" t="s">
        <v>13</v>
      </c>
      <c r="B11" s="102" t="s">
        <v>15</v>
      </c>
      <c r="C11" s="102" t="s">
        <v>14</v>
      </c>
      <c r="D11" s="113" t="s">
        <v>28</v>
      </c>
      <c r="E11" s="113" t="s">
        <v>30</v>
      </c>
      <c r="F11" s="113" t="s">
        <v>125</v>
      </c>
      <c r="G11" s="113" t="s">
        <v>130</v>
      </c>
      <c r="H11" s="45" t="s">
        <v>107</v>
      </c>
      <c r="J11" s="11" t="s">
        <v>30</v>
      </c>
      <c r="K11" s="106">
        <v>60</v>
      </c>
    </row>
    <row r="12" spans="1:13" x14ac:dyDescent="0.3">
      <c r="A12" s="46" t="s">
        <v>143</v>
      </c>
      <c r="B12" s="103" t="s">
        <v>20</v>
      </c>
      <c r="C12" s="103" t="s">
        <v>19</v>
      </c>
      <c r="D12" s="112">
        <v>4197</v>
      </c>
      <c r="E12" s="112">
        <v>60</v>
      </c>
      <c r="F12" s="112">
        <v>100</v>
      </c>
      <c r="G12" s="112">
        <v>95</v>
      </c>
      <c r="H12" s="76">
        <v>4452</v>
      </c>
      <c r="J12" s="11" t="s">
        <v>125</v>
      </c>
      <c r="K12" s="106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6">
        <v>95</v>
      </c>
    </row>
    <row r="14" spans="1:13" x14ac:dyDescent="0.3">
      <c r="J14" s="11" t="s">
        <v>102</v>
      </c>
      <c r="K14" s="106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102" t="s">
        <v>42</v>
      </c>
      <c r="D14" s="103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104">
        <v>45748</v>
      </c>
      <c r="D15" s="105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2025-07-20T16:46:52Z</dcterms:modified>
  <cp:category/>
  <cp:contentStatus/>
</cp:coreProperties>
</file>
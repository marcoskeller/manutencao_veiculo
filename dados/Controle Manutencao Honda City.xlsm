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Marcos Keller\Downloads\"/>
    </mc:Choice>
  </mc:AlternateContent>
  <xr:revisionPtr revIDLastSave="0" documentId="13_ncr:1_{D1789538-4CA9-4CDD-8C87-4511ABE72662}" xr6:coauthVersionLast="47" xr6:coauthVersionMax="47" xr10:uidLastSave="{00000000-0000-0000-0000-000000000000}"/>
  <bookViews>
    <workbookView xWindow="-108" yWindow="-108" windowWidth="23256" windowHeight="12576" tabRatio="840" activeTab="8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</sheets>
  <definedNames>
    <definedName name="A" localSheetId="9">Tabela26[Oficinas]</definedName>
    <definedName name="A">Tabela26[Oficinas]</definedName>
    <definedName name="B" localSheetId="9">Tabela3[Tipo de óleo]</definedName>
    <definedName name="B">Tabela3[Tipo de óleo]</definedName>
    <definedName name="D" localSheetId="9">Tabela3[]</definedName>
    <definedName name="D">Tabela3[]</definedName>
    <definedName name="E" localSheetId="9">Tabela1[Placa]</definedName>
    <definedName name="E">Tabela1[Placa]</definedName>
    <definedName name="G" localSheetId="9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>Tabela3[Tipo de óleo]</definedName>
  </definedNames>
  <calcPr calcId="191028"/>
  <pivotCaches>
    <pivotCache cacheId="9" r:id="rId11"/>
    <pivotCache cacheId="16" r:id="rId12"/>
    <pivotCache cacheId="24" r:id="rId13"/>
  </pivotCaches>
  <extLs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6" i="6" l="1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D8" i="7"/>
  <c r="C8" i="7"/>
  <c r="G8" i="7"/>
  <c r="J10" i="11" l="1" a="1"/>
  <c r="J10" i="11" s="1"/>
  <c r="M8" i="7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<sst xmlns="http://schemas.openxmlformats.org/spreadsheetml/2006/main" count="369" uniqueCount="130">
  <si>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</si>
  <si>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</si>
  <si>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</si>
  <si>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</si>
  <si>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</si>
  <si>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</si>
  <si>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</si>
  <si>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</si>
  <si>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</si>
  <si>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</si>
  <si>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</si>
  <si>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</si>
  <si>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</si>
  <si>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</si>
  <si>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</si>
  <si>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</si>
  <si>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</si>
  <si>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</si>
  <si>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</si>
  <si>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</si>
  <si>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</si>
  <si>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Leve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</si>
  <si>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</si>
  <si>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</si>
  <si>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</si>
  <si>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</si>
  <si>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</si>
  <si>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</si>
  <si>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</si>
  <si>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</si>
  <si>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</si>
  <si>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</si>
  <si>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</si>
  <si>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</si>
  <si>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</si>
  <si>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</si>
  <si>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</si>
  <si>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</si>
  <si>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Gasolina</t>
  </si>
  <si>
    <t>Forza Mecanica - Walber</t>
  </si>
  <si>
    <t>Alcool</t>
  </si>
  <si>
    <t>Mil Milhas - Laercio</t>
  </si>
  <si>
    <t>Posto Amigo 3</t>
  </si>
  <si>
    <t>Forcar - Fontana Airolo</t>
  </si>
  <si>
    <t>Posto Amigo 4</t>
  </si>
  <si>
    <t>Oficina Amigo 4</t>
  </si>
  <si>
    <t>Posto Amigo 5</t>
  </si>
  <si>
    <t>Posto Amigo 6</t>
  </si>
  <si>
    <t>ABASTECIMENTOS</t>
  </si>
  <si>
    <t>Data</t>
  </si>
  <si>
    <t>Posto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</si>
  <si>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</si>
  <si>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</si>
  <si>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</si>
  <si>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</si>
  <si>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</si>
  <si>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</si>
  <si>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</si>
  <si>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</si>
  <si>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</si>
  <si>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Tipo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</si>
  <si>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</si>
  <si>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</si>
  <si>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</si>
  <si>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</si>
  <si>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</si>
  <si>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</si>
  <si>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</si>
  <si>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</si>
  <si>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</si>
  <si>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</si>
  <si>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</si>
  <si>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</si>
  <si>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</si>
  <si>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ÓLEO DE MOTOR 5W30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</si>
  <si>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</si>
  <si>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</si>
  <si>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</si>
  <si>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</si>
  <si>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</si>
  <si>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</si>
  <si>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</si>
  <si>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</si>
  <si>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</si>
  <si>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</si>
  <si>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</si>
  <si>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</si>
  <si>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</si>
  <si>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</si>
  <si>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</si>
  <si>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</si>
  <si>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</si>
  <si>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</si>
  <si>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Observação (opcional)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</si>
  <si>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</si>
  <si>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</si>
  <si>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</si>
  <si>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</si>
  <si>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</si>
  <si>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</si>
  <si>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</si>
  <si>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</si>
  <si>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</si>
  <si>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</si>
  <si>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</si>
  <si>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</si>
  <si>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</si>
  <si>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</si>
  <si>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</si>
  <si>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</si>
  <si>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</si>
  <si>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</si>
  <si>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</si>
  <si>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</si>
  <si>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</si>
  <si>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</si>
  <si>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</si>
  <si>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</si>
  <si>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</si>
  <si>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</si>
  <si>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</si>
  <si>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</si>
  <si>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</si>
  <si>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</si>
  <si>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XXX1234</t>
  </si>
  <si>
    <t>Volks</t>
  </si>
  <si>
    <t>QUADRO DE TROCA DE ÓLEO</t>
  </si>
  <si>
    <t xml:space="preserve">Custo Total </t>
  </si>
  <si>
    <t>% do total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</si>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</sst>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0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49" fontId="4" fillId="0" borderId="0" xfId="0" applyNumberFormat="1" applyFont="1"/>
    <xf numFmtId="44" fontId="4" fillId="0" borderId="0" xfId="2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6" xfId="0" applyNumberFormat="1" applyBorder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0" borderId="0" xfId="0" pivotButton="1" applyBorder="1"/>
    <xf numFmtId="0" fontId="0" fillId="0" borderId="0" xfId="0" applyBorder="1"/>
    <xf numFmtId="14" fontId="0" fillId="0" borderId="0" xfId="0" applyNumberFormat="1" applyBorder="1"/>
    <xf numFmtId="4" fontId="0" fillId="0" borderId="0" xfId="0" applyNumberFormat="1" applyBorder="1"/>
    <xf numFmtId="0" fontId="0" fillId="0" borderId="0" xfId="0" applyNumberFormat="1"/>
    <xf numFmtId="165" fontId="0" fillId="0" borderId="0" xfId="0" applyNumberFormat="1" applyBorder="1"/>
    <xf numFmtId="0" fontId="0" fillId="0" borderId="0" xfId="0" applyNumberFormat="1" applyBorder="1"/>
    <xf numFmtId="0" fontId="0" fillId="0" borderId="8" xfId="0" applyNumberFormat="1" applyBorder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  <xf numFmtId="165" fontId="4" fillId="0" borderId="0" xfId="0" applyNumberFormat="1" applyFont="1" applyBorder="1"/>
    <xf numFmtId="165" fontId="4" fillId="0" borderId="6" xfId="0" applyNumberFormat="1" applyFont="1" applyBorder="1"/>
    <xf numFmtId="0" fontId="4" fillId="0" borderId="0" xfId="0" applyFont="1" applyBorder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45"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7/relationships/slicerCache" Target="slicerCaches/slicerCache4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Manutencao Honda City (2).xlsm]7.1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'7.1 Abastecimento'!$K$12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Manutencao Honda City (2).xlsm]7.2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Manutenção'!$J$10:$J$11</c:f>
              <c:strCache>
                <c:ptCount val="1"/>
                <c:pt idx="0">
                  <c:v>Mecânica</c:v>
                </c:pt>
              </c:strCache>
            </c:strRef>
          </c:cat>
          <c:val>
            <c:numRef>
              <c:f>'7.2 Manutenção'!$K$10:$K$11</c:f>
              <c:numCache>
                <c:formatCode>General</c:formatCode>
                <c:ptCount val="1"/>
                <c:pt idx="0">
                  <c:v>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38100</xdr:colOff>
      <xdr:row>10</xdr:row>
      <xdr:rowOff>9526</xdr:rowOff>
    </xdr:from>
    <xdr:to>
      <xdr:col>0</xdr:col>
      <xdr:colOff>1076325</xdr:colOff>
      <xdr:row>26</xdr:row>
      <xdr:rowOff>30481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odelo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" y="2247901"/>
              <a:ext cx="1038225" cy="3086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0.895311921297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 (opcional)" numFmtId="0">
      <sharedItems containsNonDate="0" containsString="0"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350" maxValue="350"/>
    </cacheField>
    <cacheField name="Quilometragem (Km)" numFmtId="0">
      <sharedItems containsString="0" containsBlank="1" containsNumber="1" containsInteger="1" minValue="86823" maxValue="86823"/>
    </cacheField>
    <cacheField name="Próxima troca (Km)" numFmtId="164">
      <sharedItems containsString="0" containsBlank="1" containsNumber="1" containsInteger="1" minValue="91823" maxValue="91823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0.895312152781" createdVersion="5" refreshedVersion="8" minRefreshableVersion="3" recordCount="20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3-29T00:00:00" count="2">
        <d v="2025-03-28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Posto" numFmtId="0">
      <sharedItems containsBlank="1"/>
    </cacheField>
    <cacheField name="Custo total R$" numFmtId="44">
      <sharedItems containsString="0" containsBlank="1" containsNumber="1" containsInteger="1" minValue="100" maxValue="100"/>
    </cacheField>
    <cacheField name="Preço por litro" numFmtId="44">
      <sharedItems containsString="0" containsBlank="1" containsNumber="1" minValue="6.05" maxValue="6.05"/>
    </cacheField>
    <cacheField name="Litros abastecidos" numFmtId="4">
      <sharedItems containsString="0" containsBlank="1" containsNumber="1" minValue="16.528925619834713" maxValue="16.528925619834713"/>
    </cacheField>
    <cacheField name="Quilometragem do hodômetro (Km)" numFmtId="164">
      <sharedItems containsString="0" containsBlank="1" containsNumber="1" containsInteger="1" minValue="86823" maxValue="86823"/>
    </cacheField>
    <cacheField name="Km percorridos" numFmtId="164">
      <sharedItems containsString="0" containsBlank="1" containsNumber="1" containsInteger="1" minValue="100" maxValue="100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0.89531226852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2">
        <s v="Mecânica"/>
        <m/>
      </sharedItems>
    </cacheField>
    <cacheField name="Descrição do serviço" numFmtId="0">
      <sharedItems containsBlank="1"/>
    </cacheField>
    <cacheField name="Tip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HONDA -  Pro Honda 0W-20"/>
    <n v="5000"/>
    <m/>
    <s v="Sim"/>
    <s v="Não"/>
    <n v="350"/>
    <n v="86823"/>
    <n v="91823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x v="0"/>
    <s v="Gasolina"/>
    <n v="100"/>
    <n v="6.05"/>
    <n v="16.528925619834713"/>
    <n v="86823"/>
    <n v="100"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0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5W30"/>
    <s v="Peça"/>
    <n v="196"/>
  </r>
  <r>
    <x v="0"/>
    <x v="0"/>
    <x v="0"/>
    <x v="0"/>
    <s v="Forza Mecanica - Walber"/>
    <x v="0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0"/>
    <s v="BALANCEAMENTO DE RODAS"/>
    <s v="Mão de Obra"/>
    <n v="60"/>
  </r>
  <r>
    <x v="0"/>
    <x v="0"/>
    <x v="0"/>
    <x v="0"/>
    <s v="Forza Mecanica - Walber"/>
    <x v="0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16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16" firstHeaderRow="1" firstDataRow="2" firstDataCol="2"/>
  <pivotFields count="12">
    <pivotField axis="axisRow" compact="0" numFmtId="14" outline="0" showAll="0">
      <items count="3">
        <item x="0"/>
        <item x="1"/>
        <item t="default"/>
      </items>
    </pivotField>
    <pivotField axis="axisRow" compact="0" outline="0" multipleItemSelectionAllowed="1" showAll="0" defaultSubtotal="0">
      <items count="2">
        <item x="0"/>
        <item x="1"/>
      </items>
    </pivotField>
    <pivotField compact="0" outline="0" showAll="0" defaultSubtotal="0">
      <items count="3">
        <item m="1" x="2"/>
        <item x="0"/>
        <item x="1"/>
      </items>
    </pivotField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3">
    <i>
      <x/>
      <x/>
    </i>
    <i>
      <x v="1"/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14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16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2" firstHeaderRow="1" firstDataRow="1" firstDataCol="1" rowPageCount="1" colPageCount="1"/>
  <pivotFields count="12">
    <pivotField axis="axisPage" numFmtId="14" multipleItemSelectionAllowed="1" showAll="0">
      <items count="3">
        <item x="0"/>
        <item h="1" x="1"/>
        <item t="default"/>
      </items>
    </pivotField>
    <pivotField showAll="0"/>
    <pivotField axis="axisRow" showAll="0">
      <items count="4">
        <item m="1" x="2"/>
        <item h="1" x="1"/>
        <item h="1"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1"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18">
      <pivotArea grandRow="1" outline="0" collapsedLevelsAreSubtotals="1" fieldPosition="0"/>
    </format>
    <format dxfId="17">
      <pivotArea dataOnly="0" labelOnly="1" grandRow="1" outline="0" fieldPosition="0"/>
    </format>
    <format dxfId="16">
      <pivotArea grandRow="1" outline="0" collapsedLevelsAreSubtotals="1" fieldPosition="0"/>
    </format>
    <format dxfId="15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24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E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3">
        <item x="0"/>
        <item h="1" x="1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/>
      <x v="2"/>
      <x/>
    </i>
    <i t="grand">
      <x/>
    </i>
  </rowItems>
  <colFields count="1">
    <field x="5"/>
  </colFields>
  <colItems count="2">
    <i>
      <x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13">
      <pivotArea type="all" dataOnly="0" outline="0" fieldPosition="0"/>
    </format>
    <format dxfId="12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11">
      <pivotArea dataOnly="0" labelOnly="1" outline="0" fieldPosition="0">
        <references count="1">
          <reference field="1" count="0"/>
        </references>
      </pivotArea>
    </format>
    <format dxfId="10">
      <pivotArea dataOnly="0" labelOnly="1" outline="0" fieldPosition="0">
        <references count="1">
          <reference field="5" count="0"/>
        </references>
      </pivotArea>
    </format>
    <format dxfId="9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24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1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dataField="1" numFmtId="44" showAll="0"/>
  </pivotFields>
  <rowFields count="1">
    <field x="5"/>
  </rowFields>
  <rowItems count="2">
    <i>
      <x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9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7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2">
        <item x="0"/>
        <item x="1"/>
      </items>
    </pivotField>
    <pivotField compact="0" outline="0" showAll="0" defaultSubtotal="0">
      <items count="3">
        <item m="1" x="2"/>
        <item x="0"/>
        <item x="1"/>
      </items>
    </pivotField>
    <pivotField compact="0" outline="0" showAll="0" defaultSubtotal="0">
      <items count="2">
        <item x="0"/>
        <item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3">
    <i>
      <x/>
      <x/>
    </i>
    <i>
      <x v="1"/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8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" xr10:uid="{00000000-0013-0000-FFFF-FFFF01000000}" sourceName="Modelo">
  <pivotTables>
    <pivotTable tabId="10" name="Tabela dinâmica5"/>
  </pivotTables>
  <data>
    <tabular pivotCacheId="7">
      <items count="3">
        <i x="0" s="1"/>
        <i x="1" s="1"/>
        <i x="2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3">
        <i x="0" s="1"/>
        <i x="2" s="1" nd="1"/>
        <i x="1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" xr10:uid="{00000000-0014-0000-FFFF-FFFF01000000}" cache="SegmentaçãodeDados_Modelo" caption="Modelo" style="SlicerStyleLight6" rowHeight="241300"/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44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43"/>
    <tableColumn id="2" xr3:uid="{00000000-0010-0000-0000-000002000000}" name="Modelo" dataDxfId="42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16:A22" totalsRowShown="0" headerRowDxfId="41">
  <autoFilter ref="A16:A22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1" totalsRowShown="0">
  <autoFilter ref="A7:B11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16:D20" totalsRowShown="0" headerRowDxfId="40">
  <autoFilter ref="D16:D20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3" totalsRowShown="0" headerRowDxfId="39">
  <autoFilter ref="D7:D13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7" totalsRowShown="0" headerRowDxfId="38">
  <autoFilter ref="A7:J27" xr:uid="{00000000-0009-0000-0100-000009000000}"/>
  <tableColumns count="10">
    <tableColumn id="1" xr3:uid="{00000000-0010-0000-0500-000001000000}" name="Data" dataDxfId="37"/>
    <tableColumn id="2" xr3:uid="{00000000-0010-0000-0500-000002000000}" name="Placa"/>
    <tableColumn id="3" xr3:uid="{00000000-0010-0000-0500-000003000000}" name="Modelo" dataDxfId="36">
      <calculatedColumnFormula>IFERROR(VLOOKUP(B8,'2. CADASTRO DE VEÍCULOS'!B:D,3,0),"")</calculatedColumnFormula>
    </tableColumn>
    <tableColumn id="11" xr3:uid="{00000000-0010-0000-0500-00000B000000}" name="Fabricante" dataDxfId="35">
      <calculatedColumnFormula>IFERROR(VLOOKUP(B8,'2. CADASTRO DE VEÍCULOS'!B:C,2,0),"")</calculatedColumnFormula>
    </tableColumn>
    <tableColumn id="4" xr3:uid="{00000000-0010-0000-0500-000004000000}" name="Posto"/>
    <tableColumn id="5" xr3:uid="{00000000-0010-0000-0500-000005000000}" name="Custo total R$" dataDxfId="34"/>
    <tableColumn id="6" xr3:uid="{00000000-0010-0000-0500-000006000000}" name="Preço por litro" dataCellStyle="Moeda"/>
    <tableColumn id="10" xr3:uid="{00000000-0010-0000-0500-00000A000000}" name="Litros abastecidos" dataDxfId="33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32" dataCellStyle="Vírgula"/>
    <tableColumn id="7" xr3:uid="{00000000-0010-0000-0500-000007000000}" name="Km percorridos" dataDxfId="31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30">
  <autoFilter ref="A7:I60" xr:uid="{00000000-0009-0000-0100-00000A000000}"/>
  <tableColumns count="9">
    <tableColumn id="1" xr3:uid="{00000000-0010-0000-0600-000001000000}" name="Data" dataDxfId="29"/>
    <tableColumn id="7" xr3:uid="{00000000-0010-0000-0600-000007000000}" name="Placa" dataDxfId="28"/>
    <tableColumn id="6" xr3:uid="{00000000-0010-0000-0600-000006000000}" name="Modelo" dataDxfId="27">
      <calculatedColumnFormula>IFERROR(VLOOKUP(B8,'2. CADASTRO DE VEÍCULOS'!B:D,3,0),"")</calculatedColumnFormula>
    </tableColumn>
    <tableColumn id="8" xr3:uid="{00000000-0010-0000-0600-000008000000}" name="Fabricante" dataDxfId="26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Tip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25">
  <autoFilter ref="A7:M11" xr:uid="{00000000-0009-0000-0100-00000B000000}"/>
  <tableColumns count="13">
    <tableColumn id="1" xr3:uid="{00000000-0010-0000-0700-000001000000}" name="Data" dataDxfId="24"/>
    <tableColumn id="13" xr3:uid="{00000000-0010-0000-0700-00000D000000}" name="Placa" dataDxfId="23"/>
    <tableColumn id="12" xr3:uid="{00000000-0010-0000-0700-00000C000000}" name="Modelo" dataDxfId="22">
      <calculatedColumnFormula>IFERROR(VLOOKUP(B8,'2. CADASTRO DE VEÍCULOS'!B:D,3,0),"")</calculatedColumnFormula>
    </tableColumn>
    <tableColumn id="11" xr3:uid="{00000000-0010-0000-0700-00000B000000}" name="Fabricante" dataDxfId="21">
      <calculatedColumnFormula>IFERROR(VLOOKUP(B8,'2. CADASTRO DE VEÍCULOS'!B:C,2,0),"")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20">
      <calculatedColumnFormula>IFERROR(VLOOKUP(F8,'3. CADASTROS GERAIS'!A:B,2,0),"")</calculatedColumnFormula>
    </tableColumn>
    <tableColumn id="5" xr3:uid="{00000000-0010-0000-0700-000005000000}" name="Observação (opcional)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19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7" tableBorderDxfId="6">
  <autoFilter ref="G9:L19" xr:uid="{00000000-0009-0000-0100-00000C000000}"/>
  <tableColumns count="6">
    <tableColumn id="1" xr3:uid="{00000000-0010-0000-0800-000001000000}" name="Placa" dataDxfId="5"/>
    <tableColumn id="2" xr3:uid="{00000000-0010-0000-0800-000002000000}" name="Fabricante" dataDxfId="4"/>
    <tableColumn id="3" xr3:uid="{00000000-0010-0000-0800-000003000000}" name="Modelo" dataDxfId="3"/>
    <tableColumn id="4" xr3:uid="{00000000-0010-0000-0800-000004000000}" name="Últ. Abast." dataDxfId="2">
      <calculatedColumnFormula array="1">IFERROR(LARGE(IF(G10=Tabela4[Placa],Tabela4[Quilometragem do hodômetro (Km)]),1),0)</calculatedColumnFormula>
    </tableColumn>
    <tableColumn id="5" xr3:uid="{00000000-0010-0000-0800-000005000000}" name="Próx. Troca" dataDxfId="1">
      <calculatedColumnFormula array="1">IFERROR(LARGE(IF(G10=Tabela9[Placa],Tabela9[Próxima troca (Km)]),1),0)</calculatedColumnFormula>
    </tableColumn>
    <tableColumn id="6" xr3:uid="{00000000-0010-0000-0800-000006000000}" name="Alerta" dataDxfId="0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B4" sqref="B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70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I11" sqref="I11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t="s">
        <v>18</v>
      </c>
      <c r="C9" s="10" t="s">
        <v>19</v>
      </c>
      <c r="D9" s="11" t="s">
        <v>20</v>
      </c>
      <c r="E9" t="s">
        <v>21</v>
      </c>
      <c r="F9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22"/>
  <sheetViews>
    <sheetView showGridLines="0" workbookViewId="0">
      <pane ySplit="4" topLeftCell="A5" activePane="bottomLeft" state="frozen"/>
      <selection pane="bottomLeft" activeCell="D12" sqref="D12"/>
    </sheetView>
  </sheetViews>
  <sheetFormatPr defaultRowHeight="14.4" x14ac:dyDescent="0.3"/>
  <cols>
    <col min="1" max="1" width="31.109375" bestFit="1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22</v>
      </c>
      <c r="B6" s="13"/>
      <c r="C6" s="18"/>
      <c r="D6" s="18"/>
    </row>
    <row r="7" spans="1:13" x14ac:dyDescent="0.3">
      <c r="A7" t="s">
        <v>23</v>
      </c>
      <c r="B7" t="s">
        <v>24</v>
      </c>
      <c r="D7" s="7" t="s">
        <v>25</v>
      </c>
    </row>
    <row r="8" spans="1:13" x14ac:dyDescent="0.3">
      <c r="A8" t="s">
        <v>26</v>
      </c>
      <c r="B8" s="14">
        <v>5000</v>
      </c>
      <c r="D8" t="s">
        <v>27</v>
      </c>
    </row>
    <row r="9" spans="1:13" x14ac:dyDescent="0.3">
      <c r="A9" t="s">
        <v>28</v>
      </c>
      <c r="B9" s="14">
        <v>5000</v>
      </c>
      <c r="D9" t="s">
        <v>29</v>
      </c>
    </row>
    <row r="10" spans="1:13" x14ac:dyDescent="0.3">
      <c r="A10" t="s">
        <v>30</v>
      </c>
      <c r="B10" s="14">
        <v>5000</v>
      </c>
      <c r="D10" t="s">
        <v>31</v>
      </c>
    </row>
    <row r="11" spans="1:13" x14ac:dyDescent="0.3">
      <c r="A11" t="s">
        <v>32</v>
      </c>
      <c r="B11" s="14">
        <v>5000</v>
      </c>
      <c r="D11" t="s">
        <v>33</v>
      </c>
    </row>
    <row r="12" spans="1:13" x14ac:dyDescent="0.3">
      <c r="B12" s="14"/>
      <c r="D12" t="s">
        <v>34</v>
      </c>
    </row>
    <row r="13" spans="1:13" x14ac:dyDescent="0.3">
      <c r="B13" s="14"/>
      <c r="D13" t="s">
        <v>35</v>
      </c>
    </row>
    <row r="14" spans="1:13" x14ac:dyDescent="0.3">
      <c r="B14" s="14"/>
    </row>
    <row r="16" spans="1:13" x14ac:dyDescent="0.3">
      <c r="A16" s="7" t="s">
        <v>36</v>
      </c>
      <c r="D16" s="7" t="s">
        <v>37</v>
      </c>
    </row>
    <row r="17" spans="1:4" x14ac:dyDescent="0.3">
      <c r="A17" t="s">
        <v>38</v>
      </c>
      <c r="D17" t="s">
        <v>39</v>
      </c>
    </row>
    <row r="18" spans="1:4" x14ac:dyDescent="0.3">
      <c r="A18" t="s">
        <v>40</v>
      </c>
      <c r="D18" t="s">
        <v>41</v>
      </c>
    </row>
    <row r="19" spans="1:4" x14ac:dyDescent="0.3">
      <c r="A19" t="s">
        <v>42</v>
      </c>
      <c r="D19" t="s">
        <v>43</v>
      </c>
    </row>
    <row r="20" spans="1:4" x14ac:dyDescent="0.3">
      <c r="A20" t="s">
        <v>44</v>
      </c>
      <c r="D20" t="s">
        <v>45</v>
      </c>
    </row>
    <row r="21" spans="1:4" x14ac:dyDescent="0.3">
      <c r="A21" t="s">
        <v>46</v>
      </c>
    </row>
    <row r="22" spans="1:4" x14ac:dyDescent="0.3">
      <c r="A22" t="s">
        <v>47</v>
      </c>
    </row>
  </sheetData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7"/>
  <sheetViews>
    <sheetView showGridLines="0" topLeftCell="C1" workbookViewId="0">
      <pane ySplit="4" topLeftCell="A5" activePane="bottomLeft" state="frozen"/>
      <selection pane="bottomLeft" activeCell="B3" sqref="B3"/>
    </sheetView>
  </sheetViews>
  <sheetFormatPr defaultRowHeight="14.4" x14ac:dyDescent="0.3"/>
  <cols>
    <col min="1" max="1" width="24.6640625" customWidth="1"/>
    <col min="2" max="2" width="27.44140625" customWidth="1"/>
    <col min="3" max="3" width="40.88671875" customWidth="1"/>
    <col min="4" max="4" width="13.5546875" customWidth="1"/>
    <col min="5" max="6" width="21.6640625" customWidth="1"/>
    <col min="7" max="7" width="28.5546875" customWidth="1"/>
    <col min="8" max="8" width="19.109375" bestFit="1" customWidth="1"/>
    <col min="9" max="9" width="35.88671875" bestFit="1" customWidth="1"/>
    <col min="10" max="10" width="16.8867187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48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20" t="s">
        <v>49</v>
      </c>
      <c r="B7" s="20" t="s">
        <v>13</v>
      </c>
      <c r="C7" s="21" t="s">
        <v>15</v>
      </c>
      <c r="D7" s="21" t="s">
        <v>14</v>
      </c>
      <c r="E7" s="20" t="s">
        <v>50</v>
      </c>
      <c r="F7" s="22" t="s">
        <v>51</v>
      </c>
      <c r="G7" s="20" t="s">
        <v>52</v>
      </c>
      <c r="H7" s="20" t="s">
        <v>53</v>
      </c>
      <c r="I7" s="20" t="s">
        <v>54</v>
      </c>
      <c r="J7" s="20" t="s">
        <v>55</v>
      </c>
    </row>
    <row r="8" spans="1:13" x14ac:dyDescent="0.3">
      <c r="A8" s="25">
        <v>45744</v>
      </c>
      <c r="B8" t="s">
        <v>18</v>
      </c>
      <c r="C8" s="23" t="str">
        <f>IFERROR(VLOOKUP(B8,'2. CADASTRO DE VEÍCULOS'!B:D,3,0),"")</f>
        <v>CITY SEDAN EX 1.5 FLEX 16V 4P AUTOMATICO</v>
      </c>
      <c r="D8" s="16" t="str">
        <f>IFERROR(VLOOKUP(B8,'2. CADASTRO DE VEÍCULOS'!B:C,2,0),"")</f>
        <v>HONDA</v>
      </c>
      <c r="E8" t="s">
        <v>38</v>
      </c>
      <c r="F8" s="17">
        <v>100</v>
      </c>
      <c r="G8" s="17">
        <v>6.05</v>
      </c>
      <c r="H8" s="24">
        <f>Tabela4[[#This Row],[Custo total R$]]/Tabela4[[#This Row],[Preço por litro]]</f>
        <v>16.528925619834713</v>
      </c>
      <c r="I8" s="27">
        <v>86823</v>
      </c>
      <c r="J8" s="26">
        <v>100</v>
      </c>
    </row>
    <row r="9" spans="1:13" x14ac:dyDescent="0.3">
      <c r="A9" s="25"/>
      <c r="C9" s="23"/>
      <c r="D9" s="16"/>
      <c r="F9" s="17"/>
      <c r="G9" s="17"/>
      <c r="H9" s="24"/>
      <c r="I9" s="27"/>
      <c r="J9" s="26"/>
    </row>
    <row r="10" spans="1:13" x14ac:dyDescent="0.3">
      <c r="A10" s="25"/>
      <c r="C10" s="23"/>
      <c r="D10" s="16"/>
      <c r="F10" s="17"/>
      <c r="G10" s="17"/>
      <c r="H10" s="24"/>
      <c r="I10" s="27"/>
      <c r="J10" s="26"/>
    </row>
    <row r="11" spans="1:13" x14ac:dyDescent="0.3">
      <c r="A11" s="25"/>
      <c r="C11" s="23"/>
      <c r="D11" s="16"/>
      <c r="F11" s="17"/>
      <c r="G11" s="17"/>
      <c r="H11" s="24"/>
      <c r="I11" s="27"/>
      <c r="J11" s="26"/>
    </row>
    <row r="12" spans="1:13" x14ac:dyDescent="0.3">
      <c r="A12" s="25"/>
      <c r="C12" s="23"/>
      <c r="D12" s="16"/>
      <c r="F12" s="17"/>
      <c r="G12" s="17"/>
      <c r="H12" s="24"/>
      <c r="I12" s="27"/>
      <c r="J12" s="26"/>
    </row>
    <row r="13" spans="1:13" x14ac:dyDescent="0.3">
      <c r="A13" s="25"/>
      <c r="C13" s="23"/>
      <c r="D13" s="16"/>
      <c r="F13" s="17"/>
      <c r="G13" s="17"/>
      <c r="H13" s="24"/>
      <c r="I13" s="27"/>
      <c r="J13" s="26"/>
    </row>
    <row r="14" spans="1:13" x14ac:dyDescent="0.3">
      <c r="A14" s="25"/>
      <c r="C14" s="23"/>
      <c r="D14" s="16"/>
      <c r="F14" s="17"/>
      <c r="G14" s="17"/>
      <c r="H14" s="24"/>
      <c r="I14" s="27"/>
      <c r="J14" s="26"/>
    </row>
    <row r="15" spans="1:13" x14ac:dyDescent="0.3">
      <c r="A15" s="25"/>
      <c r="C15" s="23"/>
      <c r="D15" s="16"/>
      <c r="F15" s="17"/>
      <c r="G15" s="17"/>
      <c r="H15" s="24"/>
      <c r="I15" s="27"/>
      <c r="J15" s="26"/>
    </row>
    <row r="16" spans="1:13" x14ac:dyDescent="0.3">
      <c r="A16" s="25"/>
      <c r="C16" s="23"/>
      <c r="D16" s="16"/>
      <c r="F16" s="17"/>
      <c r="G16" s="17"/>
      <c r="H16" s="24"/>
      <c r="I16" s="27"/>
      <c r="J16" s="26"/>
    </row>
    <row r="17" spans="1:10" x14ac:dyDescent="0.3">
      <c r="A17" s="25"/>
      <c r="C17" s="23"/>
      <c r="D17" s="16"/>
      <c r="F17" s="17"/>
      <c r="G17" s="17"/>
      <c r="H17" s="24"/>
      <c r="I17" s="27"/>
      <c r="J17" s="26"/>
    </row>
    <row r="18" spans="1:10" x14ac:dyDescent="0.3">
      <c r="A18" s="25"/>
      <c r="C18" s="23"/>
      <c r="D18" s="16"/>
      <c r="F18" s="17"/>
      <c r="G18" s="17"/>
      <c r="H18" s="24"/>
      <c r="I18" s="27"/>
      <c r="J18" s="26"/>
    </row>
    <row r="19" spans="1:10" x14ac:dyDescent="0.3">
      <c r="A19" s="25"/>
      <c r="C19" s="23"/>
      <c r="D19" s="16"/>
      <c r="F19" s="17"/>
      <c r="G19" s="17"/>
      <c r="H19" s="24"/>
      <c r="I19" s="27"/>
      <c r="J19" s="26"/>
    </row>
    <row r="20" spans="1:10" x14ac:dyDescent="0.3">
      <c r="A20" s="25"/>
      <c r="C20" s="23"/>
      <c r="D20" s="16"/>
      <c r="F20" s="17"/>
      <c r="G20" s="17"/>
      <c r="H20" s="24"/>
      <c r="I20" s="27"/>
      <c r="J20" s="26"/>
    </row>
    <row r="21" spans="1:10" x14ac:dyDescent="0.3">
      <c r="A21" s="25"/>
      <c r="C21" s="23"/>
      <c r="D21" s="16"/>
      <c r="F21" s="17"/>
      <c r="G21" s="17"/>
      <c r="H21" s="24"/>
      <c r="I21" s="27"/>
      <c r="J21" s="26"/>
    </row>
    <row r="22" spans="1:10" x14ac:dyDescent="0.3">
      <c r="A22" s="25"/>
      <c r="C22" s="23"/>
      <c r="D22" s="16"/>
      <c r="F22" s="17"/>
      <c r="G22" s="17"/>
      <c r="H22" s="24"/>
      <c r="I22" s="27"/>
      <c r="J22" s="26"/>
    </row>
    <row r="23" spans="1:10" x14ac:dyDescent="0.3">
      <c r="A23" s="25"/>
      <c r="C23" s="23"/>
      <c r="D23" s="16"/>
      <c r="F23" s="17"/>
      <c r="G23" s="17"/>
      <c r="H23" s="24"/>
      <c r="I23" s="27"/>
      <c r="J23" s="26"/>
    </row>
    <row r="24" spans="1:10" x14ac:dyDescent="0.3">
      <c r="A24" s="25"/>
      <c r="C24" s="23"/>
      <c r="D24" s="16"/>
      <c r="F24" s="17"/>
      <c r="G24" s="17"/>
      <c r="H24" s="24"/>
      <c r="I24" s="27"/>
      <c r="J24" s="26"/>
    </row>
    <row r="25" spans="1:10" x14ac:dyDescent="0.3">
      <c r="A25" s="25"/>
      <c r="C25" s="23"/>
      <c r="D25" s="16"/>
      <c r="F25" s="17"/>
      <c r="G25" s="17"/>
      <c r="H25" s="24"/>
      <c r="I25" s="27"/>
      <c r="J25" s="26"/>
    </row>
    <row r="26" spans="1:10" x14ac:dyDescent="0.3">
      <c r="A26" s="25"/>
      <c r="C26" s="23"/>
      <c r="D26" s="16"/>
      <c r="F26" s="17"/>
      <c r="G26" s="17"/>
      <c r="H26" s="24"/>
      <c r="I26" s="27"/>
      <c r="J26" s="26"/>
    </row>
    <row r="27" spans="1:10" x14ac:dyDescent="0.3">
      <c r="A27" s="25"/>
      <c r="C27" s="23"/>
      <c r="D27" s="16"/>
      <c r="F27" s="17"/>
      <c r="G27" s="17"/>
      <c r="H27" s="24"/>
      <c r="I27" s="27"/>
      <c r="J27" s="26"/>
    </row>
  </sheetData>
  <dataValidations count="2">
    <dataValidation type="list" allowBlank="1" showInputMessage="1" showErrorMessage="1" sqref="B8:B27" xr:uid="{00000000-0002-0000-0300-000000000000}">
      <formula1>Placa</formula1>
    </dataValidation>
    <dataValidation type="list" allowBlank="1" showInputMessage="1" showErrorMessage="1" sqref="E8:E27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workbookViewId="0">
      <pane ySplit="4" topLeftCell="A5" activePane="bottomLeft" state="frozen"/>
      <selection pane="bottomLeft" activeCell="I37" sqref="I37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16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3"/>
      <c r="I4" s="2"/>
      <c r="J4" s="2"/>
      <c r="K4" s="2"/>
      <c r="L4" s="2"/>
      <c r="M4" s="2"/>
      <c r="N4" s="2"/>
    </row>
    <row r="6" spans="1:14" ht="14.4" x14ac:dyDescent="0.3">
      <c r="A6" s="28" t="s">
        <v>56</v>
      </c>
      <c r="B6" s="28"/>
      <c r="C6" s="28"/>
      <c r="D6" s="28"/>
      <c r="E6" s="28"/>
      <c r="F6" s="28"/>
      <c r="G6" s="29"/>
      <c r="H6" s="29"/>
      <c r="I6" s="28"/>
    </row>
    <row r="7" spans="1:14" s="20" customFormat="1" ht="14.4" x14ac:dyDescent="0.3">
      <c r="A7" s="74" t="s">
        <v>49</v>
      </c>
      <c r="B7" s="74" t="s">
        <v>13</v>
      </c>
      <c r="C7" s="75" t="s">
        <v>15</v>
      </c>
      <c r="D7" s="75" t="s">
        <v>14</v>
      </c>
      <c r="E7" s="74" t="s">
        <v>57</v>
      </c>
      <c r="F7" s="74" t="s">
        <v>58</v>
      </c>
      <c r="G7" s="74" t="s">
        <v>59</v>
      </c>
      <c r="H7" s="74" t="s">
        <v>60</v>
      </c>
      <c r="I7" s="76" t="s">
        <v>51</v>
      </c>
    </row>
    <row r="8" spans="1:14" ht="14.4" customHeight="1" x14ac:dyDescent="0.3">
      <c r="A8" s="25">
        <v>45748</v>
      </c>
      <c r="B8" t="s">
        <v>18</v>
      </c>
      <c r="C8" s="23" t="str">
        <f>IFERROR(VLOOKUP(B8,'2. CADASTRO DE VEÍCULOS'!B:D,3,0),"")</f>
        <v>CITY SEDAN EX 1.5 FLEX 16V 4P AUTOMATICO</v>
      </c>
      <c r="D8" s="16" t="str">
        <f>IFERROR(VLOOKUP(B8,'2. CADASTRO DE VEÍCULOS'!B:C,2,0),"")</f>
        <v>HONDA</v>
      </c>
      <c r="E8" t="s">
        <v>39</v>
      </c>
      <c r="F8" t="s">
        <v>29</v>
      </c>
      <c r="G8" s="71" t="s">
        <v>61</v>
      </c>
      <c r="H8" t="s">
        <v>34</v>
      </c>
      <c r="I8" s="17">
        <v>90</v>
      </c>
    </row>
    <row r="9" spans="1:14" ht="17.25" customHeight="1" x14ac:dyDescent="0.3">
      <c r="A9" s="25">
        <v>45748</v>
      </c>
      <c r="B9" t="s">
        <v>18</v>
      </c>
      <c r="C9" s="23" t="str">
        <f>IFERROR(VLOOKUP(B9,'2. CADASTRO DE VEÍCULOS'!B:D,3,0),"")</f>
        <v>CITY SEDAN EX 1.5 FLEX 16V 4P AUTOMATICO</v>
      </c>
      <c r="D9" s="16" t="str">
        <f>IFERROR(VLOOKUP(B9,'2. CADASTRO DE VEÍCULOS'!B:C,2,0),"")</f>
        <v>HONDA</v>
      </c>
      <c r="E9" t="s">
        <v>39</v>
      </c>
      <c r="F9" t="s">
        <v>29</v>
      </c>
      <c r="G9" s="71" t="s">
        <v>62</v>
      </c>
      <c r="H9" t="s">
        <v>34</v>
      </c>
      <c r="I9" s="17">
        <v>198</v>
      </c>
    </row>
    <row r="10" spans="1:14" ht="14.4" x14ac:dyDescent="0.3">
      <c r="A10" s="25">
        <v>45748</v>
      </c>
      <c r="B10" t="s">
        <v>18</v>
      </c>
      <c r="C10" s="23" t="str">
        <f>IFERROR(VLOOKUP(B10,'2. CADASTRO DE VEÍCULOS'!B:D,3,0),"")</f>
        <v>CITY SEDAN EX 1.5 FLEX 16V 4P AUTOMATICO</v>
      </c>
      <c r="D10" s="16" t="str">
        <f>IFERROR(VLOOKUP(B10,'2. CADASTRO DE VEÍCULOS'!B:C,2,0),"")</f>
        <v>HONDA</v>
      </c>
      <c r="E10" t="s">
        <v>39</v>
      </c>
      <c r="F10" t="s">
        <v>29</v>
      </c>
      <c r="G10" s="71" t="s">
        <v>63</v>
      </c>
      <c r="H10" t="s">
        <v>34</v>
      </c>
      <c r="I10" s="17">
        <v>48</v>
      </c>
    </row>
    <row r="11" spans="1:14" ht="14.4" x14ac:dyDescent="0.3">
      <c r="A11" s="25">
        <v>45748</v>
      </c>
      <c r="B11" t="s">
        <v>18</v>
      </c>
      <c r="C11" s="23" t="str">
        <f>IFERROR(VLOOKUP(B11,'2. CADASTRO DE VEÍCULOS'!B:D,3,0),"")</f>
        <v>CITY SEDAN EX 1.5 FLEX 16V 4P AUTOMATICO</v>
      </c>
      <c r="D11" s="16" t="str">
        <f>IFERROR(VLOOKUP(B11,'2. CADASTRO DE VEÍCULOS'!B:C,2,0),"")</f>
        <v>HONDA</v>
      </c>
      <c r="E11" t="s">
        <v>39</v>
      </c>
      <c r="F11" t="s">
        <v>29</v>
      </c>
      <c r="G11" s="71" t="s">
        <v>64</v>
      </c>
      <c r="H11" t="s">
        <v>34</v>
      </c>
      <c r="I11" s="17">
        <v>50</v>
      </c>
    </row>
    <row r="12" spans="1:14" ht="17.25" customHeight="1" x14ac:dyDescent="0.3">
      <c r="A12" s="25">
        <v>45748</v>
      </c>
      <c r="B12" t="s">
        <v>18</v>
      </c>
      <c r="C12" s="23" t="str">
        <f>IFERROR(VLOOKUP(B12,'2. CADASTRO DE VEÍCULOS'!B:D,3,0),"")</f>
        <v>CITY SEDAN EX 1.5 FLEX 16V 4P AUTOMATICO</v>
      </c>
      <c r="D12" s="16" t="str">
        <f>IFERROR(VLOOKUP(B12,'2. CADASTRO DE VEÍCULOS'!B:C,2,0),"")</f>
        <v>HONDA</v>
      </c>
      <c r="E12" t="s">
        <v>39</v>
      </c>
      <c r="F12" t="s">
        <v>29</v>
      </c>
      <c r="G12" s="71" t="s">
        <v>65</v>
      </c>
      <c r="H12" t="s">
        <v>34</v>
      </c>
      <c r="I12" s="17">
        <v>40</v>
      </c>
    </row>
    <row r="13" spans="1:14" ht="14.4" x14ac:dyDescent="0.3">
      <c r="A13" s="25">
        <v>45748</v>
      </c>
      <c r="B13" t="s">
        <v>18</v>
      </c>
      <c r="C13" s="23" t="str">
        <f>IFERROR(VLOOKUP(B13,'2. CADASTRO DE VEÍCULOS'!B:D,3,0),"")</f>
        <v>CITY SEDAN EX 1.5 FLEX 16V 4P AUTOMATICO</v>
      </c>
      <c r="D13" s="16" t="str">
        <f>IFERROR(VLOOKUP(B13,'2. CADASTRO DE VEÍCULOS'!B:C,2,0),"")</f>
        <v>HONDA</v>
      </c>
      <c r="E13" t="s">
        <v>39</v>
      </c>
      <c r="F13" t="s">
        <v>29</v>
      </c>
      <c r="G13" s="71" t="s">
        <v>66</v>
      </c>
      <c r="H13" t="s">
        <v>34</v>
      </c>
      <c r="I13" s="17">
        <v>78</v>
      </c>
    </row>
    <row r="14" spans="1:14" ht="14.4" x14ac:dyDescent="0.3">
      <c r="A14" s="25">
        <v>45748</v>
      </c>
      <c r="B14" t="s">
        <v>18</v>
      </c>
      <c r="C14" s="23" t="str">
        <f>IFERROR(VLOOKUP(B14,'2. CADASTRO DE VEÍCULOS'!B:D,3,0),"")</f>
        <v>CITY SEDAN EX 1.5 FLEX 16V 4P AUTOMATICO</v>
      </c>
      <c r="D14" s="16" t="str">
        <f>IFERROR(VLOOKUP(B14,'2. CADASTRO DE VEÍCULOS'!B:C,2,0),"")</f>
        <v>HONDA</v>
      </c>
      <c r="E14" t="s">
        <v>39</v>
      </c>
      <c r="F14" t="s">
        <v>29</v>
      </c>
      <c r="G14" s="71" t="s">
        <v>67</v>
      </c>
      <c r="H14" t="s">
        <v>34</v>
      </c>
      <c r="I14" s="17">
        <v>50</v>
      </c>
    </row>
    <row r="15" spans="1:14" ht="14.4" x14ac:dyDescent="0.3">
      <c r="A15" s="25">
        <v>45748</v>
      </c>
      <c r="B15" t="s">
        <v>18</v>
      </c>
      <c r="C15" s="23" t="str">
        <f>IFERROR(VLOOKUP(B15,'2. CADASTRO DE VEÍCULOS'!B:D,3,0),"")</f>
        <v>CITY SEDAN EX 1.5 FLEX 16V 4P AUTOMATICO</v>
      </c>
      <c r="D15" s="16" t="str">
        <f>IFERROR(VLOOKUP(B15,'2. CADASTRO DE VEÍCULOS'!B:C,2,0),"")</f>
        <v>HONDA</v>
      </c>
      <c r="E15" t="s">
        <v>39</v>
      </c>
      <c r="F15" t="s">
        <v>29</v>
      </c>
      <c r="G15" s="71" t="s">
        <v>68</v>
      </c>
      <c r="H15" t="s">
        <v>34</v>
      </c>
      <c r="I15" s="17">
        <v>56</v>
      </c>
    </row>
    <row r="16" spans="1:14" ht="14.4" x14ac:dyDescent="0.3">
      <c r="A16" s="25">
        <v>45748</v>
      </c>
      <c r="B16" t="s">
        <v>18</v>
      </c>
      <c r="C16" s="23" t="str">
        <f>IFERROR(VLOOKUP(B16,'2. CADASTRO DE VEÍCULOS'!B:D,3,0),"")</f>
        <v>CITY SEDAN EX 1.5 FLEX 16V 4P AUTOMATICO</v>
      </c>
      <c r="D16" s="16" t="str">
        <f>IFERROR(VLOOKUP(B16,'2. CADASTRO DE VEÍCULOS'!B:C,2,0),"")</f>
        <v>HONDA</v>
      </c>
      <c r="E16" t="s">
        <v>39</v>
      </c>
      <c r="F16" t="s">
        <v>29</v>
      </c>
      <c r="G16" s="71" t="s">
        <v>69</v>
      </c>
      <c r="H16" t="s">
        <v>34</v>
      </c>
      <c r="I16" s="17">
        <v>30</v>
      </c>
    </row>
    <row r="17" spans="1:9" ht="14.4" x14ac:dyDescent="0.3">
      <c r="A17" s="25">
        <v>45748</v>
      </c>
      <c r="B17" t="s">
        <v>18</v>
      </c>
      <c r="C17" s="23" t="str">
        <f>IFERROR(VLOOKUP(B17,'2. CADASTRO DE VEÍCULOS'!B:D,3,0),"")</f>
        <v>CITY SEDAN EX 1.5 FLEX 16V 4P AUTOMATICO</v>
      </c>
      <c r="D17" s="16" t="str">
        <f>IFERROR(VLOOKUP(B17,'2. CADASTRO DE VEÍCULOS'!B:C,2,0),"")</f>
        <v>HONDA</v>
      </c>
      <c r="E17" t="s">
        <v>39</v>
      </c>
      <c r="F17" t="s">
        <v>29</v>
      </c>
      <c r="G17" s="71" t="s">
        <v>70</v>
      </c>
      <c r="H17" t="s">
        <v>34</v>
      </c>
      <c r="I17" s="17">
        <v>28</v>
      </c>
    </row>
    <row r="18" spans="1:9" ht="14.4" x14ac:dyDescent="0.3">
      <c r="A18" s="25">
        <v>45748</v>
      </c>
      <c r="B18" t="s">
        <v>18</v>
      </c>
      <c r="C18" s="23" t="str">
        <f>IFERROR(VLOOKUP(B18,'2. CADASTRO DE VEÍCULOS'!B:D,3,0),"")</f>
        <v>CITY SEDAN EX 1.5 FLEX 16V 4P AUTOMATICO</v>
      </c>
      <c r="D18" s="16" t="str">
        <f>IFERROR(VLOOKUP(B18,'2. CADASTRO DE VEÍCULOS'!B:C,2,0),"")</f>
        <v>HONDA</v>
      </c>
      <c r="E18" t="s">
        <v>39</v>
      </c>
      <c r="F18" t="s">
        <v>29</v>
      </c>
      <c r="G18" s="71" t="s">
        <v>71</v>
      </c>
      <c r="H18" t="s">
        <v>34</v>
      </c>
      <c r="I18" s="17">
        <v>28</v>
      </c>
    </row>
    <row r="19" spans="1:9" ht="14.4" x14ac:dyDescent="0.3">
      <c r="A19" s="25">
        <v>45748</v>
      </c>
      <c r="B19" t="s">
        <v>18</v>
      </c>
      <c r="C19" s="23" t="str">
        <f>IFERROR(VLOOKUP(B19,'2. CADASTRO DE VEÍCULOS'!B:D,3,0),"")</f>
        <v>CITY SEDAN EX 1.5 FLEX 16V 4P AUTOMATICO</v>
      </c>
      <c r="D19" s="16" t="str">
        <f>IFERROR(VLOOKUP(B19,'2. CADASTRO DE VEÍCULOS'!B:C,2,0),"")</f>
        <v>HONDA</v>
      </c>
      <c r="E19" t="s">
        <v>39</v>
      </c>
      <c r="F19" t="s">
        <v>29</v>
      </c>
      <c r="G19" s="71" t="s">
        <v>72</v>
      </c>
      <c r="H19" t="s">
        <v>34</v>
      </c>
      <c r="I19" s="17">
        <v>160</v>
      </c>
    </row>
    <row r="20" spans="1:9" ht="14.4" x14ac:dyDescent="0.3">
      <c r="A20" s="25">
        <v>45748</v>
      </c>
      <c r="B20" t="s">
        <v>18</v>
      </c>
      <c r="C20" s="23" t="str">
        <f>IFERROR(VLOOKUP(B20,'2. CADASTRO DE VEÍCULOS'!B:D,3,0),"")</f>
        <v>CITY SEDAN EX 1.5 FLEX 16V 4P AUTOMATICO</v>
      </c>
      <c r="D20" s="16" t="str">
        <f>IFERROR(VLOOKUP(B20,'2. CADASTRO DE VEÍCULOS'!B:C,2,0),"")</f>
        <v>HONDA</v>
      </c>
      <c r="E20" t="s">
        <v>39</v>
      </c>
      <c r="F20" t="s">
        <v>29</v>
      </c>
      <c r="G20" s="71" t="s">
        <v>73</v>
      </c>
      <c r="H20" t="s">
        <v>34</v>
      </c>
      <c r="I20" s="17">
        <v>110</v>
      </c>
    </row>
    <row r="21" spans="1:9" ht="14.4" x14ac:dyDescent="0.3">
      <c r="A21" s="25">
        <v>45748</v>
      </c>
      <c r="B21" t="s">
        <v>18</v>
      </c>
      <c r="C21" s="23" t="str">
        <f>IFERROR(VLOOKUP(B21,'2. CADASTRO DE VEÍCULOS'!B:D,3,0),"")</f>
        <v>CITY SEDAN EX 1.5 FLEX 16V 4P AUTOMATICO</v>
      </c>
      <c r="D21" s="16" t="str">
        <f>IFERROR(VLOOKUP(B21,'2. CADASTRO DE VEÍCULOS'!B:C,2,0),"")</f>
        <v>HONDA</v>
      </c>
      <c r="E21" t="s">
        <v>39</v>
      </c>
      <c r="F21" t="s">
        <v>29</v>
      </c>
      <c r="G21" s="71" t="s">
        <v>74</v>
      </c>
      <c r="H21" t="s">
        <v>34</v>
      </c>
      <c r="I21" s="17">
        <v>196</v>
      </c>
    </row>
    <row r="22" spans="1:9" ht="14.4" x14ac:dyDescent="0.3">
      <c r="A22" s="25">
        <v>45748</v>
      </c>
      <c r="B22" t="s">
        <v>18</v>
      </c>
      <c r="C22" s="23" t="str">
        <f>IFERROR(VLOOKUP(B22,'2. CADASTRO DE VEÍCULOS'!B:D,3,0),"")</f>
        <v>CITY SEDAN EX 1.5 FLEX 16V 4P AUTOMATICO</v>
      </c>
      <c r="D22" s="16" t="str">
        <f>IFERROR(VLOOKUP(B22,'2. CADASTRO DE VEÍCULOS'!B:C,2,0),"")</f>
        <v>HONDA</v>
      </c>
      <c r="E22" t="s">
        <v>39</v>
      </c>
      <c r="F22" t="s">
        <v>29</v>
      </c>
      <c r="G22" s="71" t="s">
        <v>75</v>
      </c>
      <c r="H22" t="s">
        <v>34</v>
      </c>
      <c r="I22" s="17">
        <v>95</v>
      </c>
    </row>
    <row r="23" spans="1:9" ht="14.4" x14ac:dyDescent="0.3">
      <c r="A23" s="25">
        <v>45748</v>
      </c>
      <c r="B23" t="s">
        <v>18</v>
      </c>
      <c r="C23" s="23" t="str">
        <f>IFERROR(VLOOKUP(B23,'2. CADASTRO DE VEÍCULOS'!B:D,3,0),"")</f>
        <v>CITY SEDAN EX 1.5 FLEX 16V 4P AUTOMATICO</v>
      </c>
      <c r="D23" s="16" t="str">
        <f>IFERROR(VLOOKUP(B23,'2. CADASTRO DE VEÍCULOS'!B:C,2,0),"")</f>
        <v>HONDA</v>
      </c>
      <c r="E23" t="s">
        <v>39</v>
      </c>
      <c r="F23" t="s">
        <v>29</v>
      </c>
      <c r="G23" s="71" t="s">
        <v>76</v>
      </c>
      <c r="H23" t="s">
        <v>34</v>
      </c>
      <c r="I23" s="17">
        <v>235</v>
      </c>
    </row>
    <row r="24" spans="1:9" ht="14.4" x14ac:dyDescent="0.3">
      <c r="A24" s="25">
        <v>45748</v>
      </c>
      <c r="B24" t="s">
        <v>18</v>
      </c>
      <c r="C24" s="23" t="str">
        <f>IFERROR(VLOOKUP(B24,'2. CADASTRO DE VEÍCULOS'!B:D,3,0),"")</f>
        <v>CITY SEDAN EX 1.5 FLEX 16V 4P AUTOMATICO</v>
      </c>
      <c r="D24" s="16" t="str">
        <f>IFERROR(VLOOKUP(B24,'2. CADASTRO DE VEÍCULOS'!B:C,2,0),"")</f>
        <v>HONDA</v>
      </c>
      <c r="E24" t="s">
        <v>39</v>
      </c>
      <c r="F24" t="s">
        <v>29</v>
      </c>
      <c r="G24" s="71" t="s">
        <v>77</v>
      </c>
      <c r="H24" t="s">
        <v>34</v>
      </c>
      <c r="I24" s="17">
        <v>470</v>
      </c>
    </row>
    <row r="25" spans="1:9" ht="14.4" x14ac:dyDescent="0.3">
      <c r="A25" s="25">
        <v>45748</v>
      </c>
      <c r="B25" t="s">
        <v>18</v>
      </c>
      <c r="C25" s="23" t="str">
        <f>IFERROR(VLOOKUP(B25,'2. CADASTRO DE VEÍCULOS'!B:D,3,0),"")</f>
        <v>CITY SEDAN EX 1.5 FLEX 16V 4P AUTOMATICO</v>
      </c>
      <c r="D25" s="16" t="str">
        <f>IFERROR(VLOOKUP(B25,'2. CADASTRO DE VEÍCULOS'!B:C,2,0),"")</f>
        <v>HONDA</v>
      </c>
      <c r="E25" t="s">
        <v>39</v>
      </c>
      <c r="F25" t="s">
        <v>29</v>
      </c>
      <c r="G25" s="71" t="s">
        <v>78</v>
      </c>
      <c r="H25" t="s">
        <v>34</v>
      </c>
      <c r="I25" s="17">
        <v>690</v>
      </c>
    </row>
    <row r="26" spans="1:9" ht="14.4" x14ac:dyDescent="0.3">
      <c r="A26" s="25">
        <v>45748</v>
      </c>
      <c r="B26" t="s">
        <v>18</v>
      </c>
      <c r="C26" s="23" t="str">
        <f>IFERROR(VLOOKUP(B26,'2. CADASTRO DE VEÍCULOS'!B:D,3,0),"")</f>
        <v>CITY SEDAN EX 1.5 FLEX 16V 4P AUTOMATICO</v>
      </c>
      <c r="D26" s="16" t="str">
        <f>IFERROR(VLOOKUP(B26,'2. CADASTRO DE VEÍCULOS'!B:C,2,0),"")</f>
        <v>HONDA</v>
      </c>
      <c r="E26" t="s">
        <v>39</v>
      </c>
      <c r="F26" t="s">
        <v>29</v>
      </c>
      <c r="G26" s="71" t="s">
        <v>79</v>
      </c>
      <c r="H26" t="s">
        <v>35</v>
      </c>
      <c r="I26" s="17">
        <v>60</v>
      </c>
    </row>
    <row r="27" spans="1:9" ht="14.4" x14ac:dyDescent="0.3">
      <c r="A27" s="25">
        <v>45748</v>
      </c>
      <c r="B27" t="s">
        <v>18</v>
      </c>
      <c r="C27" s="23" t="str">
        <f>IFERROR(VLOOKUP(B27,'2. CADASTRO DE VEÍCULOS'!B:D,3,0),"")</f>
        <v>CITY SEDAN EX 1.5 FLEX 16V 4P AUTOMATICO</v>
      </c>
      <c r="D27" s="16" t="str">
        <f>IFERROR(VLOOKUP(B27,'2. CADASTRO DE VEÍCULOS'!B:C,2,0),"")</f>
        <v>HONDA</v>
      </c>
      <c r="E27" t="s">
        <v>39</v>
      </c>
      <c r="F27" t="s">
        <v>29</v>
      </c>
      <c r="G27" s="71" t="s">
        <v>80</v>
      </c>
      <c r="H27" t="s">
        <v>35</v>
      </c>
      <c r="I27" s="17">
        <v>70</v>
      </c>
    </row>
    <row r="28" spans="1:9" ht="14.4" x14ac:dyDescent="0.3">
      <c r="A28" s="25">
        <v>45748</v>
      </c>
      <c r="B28" t="s">
        <v>18</v>
      </c>
      <c r="C28" s="23" t="str">
        <f>IFERROR(VLOOKUP(B28,'2. CADASTRO DE VEÍCULOS'!B:D,3,0),"")</f>
        <v>CITY SEDAN EX 1.5 FLEX 16V 4P AUTOMATICO</v>
      </c>
      <c r="D28" s="16" t="str">
        <f>IFERROR(VLOOKUP(B28,'2. CADASTRO DE VEÍCULOS'!B:C,2,0),"")</f>
        <v>HONDA</v>
      </c>
      <c r="E28" t="s">
        <v>39</v>
      </c>
      <c r="F28" t="s">
        <v>29</v>
      </c>
      <c r="G28" s="71" t="s">
        <v>81</v>
      </c>
      <c r="H28" t="s">
        <v>35</v>
      </c>
      <c r="I28" s="17">
        <v>60</v>
      </c>
    </row>
    <row r="29" spans="1:9" ht="14.4" x14ac:dyDescent="0.3">
      <c r="A29" s="25">
        <v>45748</v>
      </c>
      <c r="B29" t="s">
        <v>18</v>
      </c>
      <c r="C29" s="23" t="str">
        <f>IFERROR(VLOOKUP(B29,'2. CADASTRO DE VEÍCULOS'!B:D,3,0),"")</f>
        <v>CITY SEDAN EX 1.5 FLEX 16V 4P AUTOMATICO</v>
      </c>
      <c r="D29" s="16" t="str">
        <f>IFERROR(VLOOKUP(B29,'2. CADASTRO DE VEÍCULOS'!B:C,2,0),"")</f>
        <v>HONDA</v>
      </c>
      <c r="E29" t="s">
        <v>39</v>
      </c>
      <c r="F29" t="s">
        <v>29</v>
      </c>
      <c r="G29" s="71" t="s">
        <v>82</v>
      </c>
      <c r="H29" t="s">
        <v>35</v>
      </c>
      <c r="I29" s="17">
        <v>240</v>
      </c>
    </row>
    <row r="30" spans="1:9" ht="14.4" x14ac:dyDescent="0.3">
      <c r="A30" s="25">
        <v>45748</v>
      </c>
      <c r="B30" t="s">
        <v>18</v>
      </c>
      <c r="C30" s="23" t="str">
        <f>IFERROR(VLOOKUP(B30,'2. CADASTRO DE VEÍCULOS'!B:D,3,0),"")</f>
        <v>CITY SEDAN EX 1.5 FLEX 16V 4P AUTOMATICO</v>
      </c>
      <c r="D30" s="16" t="str">
        <f>IFERROR(VLOOKUP(B30,'2. CADASTRO DE VEÍCULOS'!B:C,2,0),"")</f>
        <v>HONDA</v>
      </c>
      <c r="E30" t="s">
        <v>39</v>
      </c>
      <c r="F30" t="s">
        <v>29</v>
      </c>
      <c r="G30" s="71" t="s">
        <v>83</v>
      </c>
      <c r="H30" t="s">
        <v>35</v>
      </c>
      <c r="I30" s="17">
        <v>450</v>
      </c>
    </row>
    <row r="31" spans="1:9" ht="14.4" x14ac:dyDescent="0.3">
      <c r="A31" s="25">
        <v>45748</v>
      </c>
      <c r="B31" t="s">
        <v>18</v>
      </c>
      <c r="C31" s="23" t="str">
        <f>IFERROR(VLOOKUP(B31,'2. CADASTRO DE VEÍCULOS'!B:D,3,0),"")</f>
        <v>CITY SEDAN EX 1.5 FLEX 16V 4P AUTOMATICO</v>
      </c>
      <c r="D31" s="16" t="str">
        <f>IFERROR(VLOOKUP(B31,'2. CADASTRO DE VEÍCULOS'!B:C,2,0),"")</f>
        <v>HONDA</v>
      </c>
      <c r="E31" t="s">
        <v>39</v>
      </c>
      <c r="F31" t="s">
        <v>29</v>
      </c>
      <c r="G31" s="71" t="s">
        <v>84</v>
      </c>
      <c r="H31" t="s">
        <v>35</v>
      </c>
      <c r="I31" s="17">
        <v>90</v>
      </c>
    </row>
    <row r="32" spans="1:9" ht="14.4" x14ac:dyDescent="0.3">
      <c r="A32" s="25">
        <v>45748</v>
      </c>
      <c r="B32" t="s">
        <v>18</v>
      </c>
      <c r="C32" s="23" t="str">
        <f>IFERROR(VLOOKUP(B32,'2. CADASTRO DE VEÍCULOS'!B:D,3,0),"")</f>
        <v>CITY SEDAN EX 1.5 FLEX 16V 4P AUTOMATICO</v>
      </c>
      <c r="D32" s="16" t="str">
        <f>IFERROR(VLOOKUP(B32,'2. CADASTRO DE VEÍCULOS'!B:C,2,0),"")</f>
        <v>HONDA</v>
      </c>
      <c r="E32" t="s">
        <v>39</v>
      </c>
      <c r="F32" t="s">
        <v>29</v>
      </c>
      <c r="G32" s="71" t="s">
        <v>85</v>
      </c>
      <c r="H32" t="s">
        <v>35</v>
      </c>
      <c r="I32" s="17">
        <v>120</v>
      </c>
    </row>
    <row r="33" spans="1:9" ht="13.5" customHeight="1" x14ac:dyDescent="0.3">
      <c r="A33" s="25">
        <v>45748</v>
      </c>
      <c r="B33" t="s">
        <v>18</v>
      </c>
      <c r="C33" s="23" t="str">
        <f>IFERROR(VLOOKUP(B33,'2. CADASTRO DE VEÍCULOS'!B:D,3,0),"")</f>
        <v>CITY SEDAN EX 1.5 FLEX 16V 4P AUTOMATICO</v>
      </c>
      <c r="D33" s="16" t="str">
        <f>IFERROR(VLOOKUP(B33,'2. CADASTRO DE VEÍCULOS'!B:C,2,0),"")</f>
        <v>HONDA</v>
      </c>
      <c r="E33" t="s">
        <v>39</v>
      </c>
      <c r="F33" t="s">
        <v>29</v>
      </c>
      <c r="G33" s="78" t="s">
        <v>86</v>
      </c>
      <c r="H33" t="s">
        <v>35</v>
      </c>
      <c r="I33" s="17">
        <v>210</v>
      </c>
    </row>
    <row r="34" spans="1:9" ht="14.4" x14ac:dyDescent="0.3">
      <c r="A34" s="25">
        <v>45748</v>
      </c>
      <c r="B34" t="s">
        <v>18</v>
      </c>
      <c r="C34" s="23" t="str">
        <f>IFERROR(VLOOKUP(B34,'2. CADASTRO DE VEÍCULOS'!B:D,3,0),"")</f>
        <v>CITY SEDAN EX 1.5 FLEX 16V 4P AUTOMATICO</v>
      </c>
      <c r="D34" s="16" t="str">
        <f>IFERROR(VLOOKUP(B34,'2. CADASTRO DE VEÍCULOS'!B:C,2,0),"")</f>
        <v>HONDA</v>
      </c>
      <c r="E34" t="s">
        <v>39</v>
      </c>
      <c r="F34" t="s">
        <v>29</v>
      </c>
      <c r="G34" s="71" t="s">
        <v>87</v>
      </c>
      <c r="H34" t="s">
        <v>35</v>
      </c>
      <c r="I34" s="17">
        <v>240</v>
      </c>
    </row>
    <row r="35" spans="1:9" ht="14.4" x14ac:dyDescent="0.3">
      <c r="A35" s="25">
        <v>45748</v>
      </c>
      <c r="B35" t="s">
        <v>18</v>
      </c>
      <c r="C35" s="23" t="str">
        <f>IFERROR(VLOOKUP(B35,'2. CADASTRO DE VEÍCULOS'!B:D,3,0),"")</f>
        <v>CITY SEDAN EX 1.5 FLEX 16V 4P AUTOMATICO</v>
      </c>
      <c r="D35" s="16" t="str">
        <f>IFERROR(VLOOKUP(B35,'2. CADASTRO DE VEÍCULOS'!B:C,2,0),"")</f>
        <v>HONDA</v>
      </c>
      <c r="E35" t="s">
        <v>39</v>
      </c>
      <c r="F35" t="s">
        <v>29</v>
      </c>
      <c r="G35" s="71" t="s">
        <v>88</v>
      </c>
      <c r="H35" t="s">
        <v>35</v>
      </c>
      <c r="I35" s="17">
        <v>90</v>
      </c>
    </row>
    <row r="36" spans="1:9" ht="14.4" x14ac:dyDescent="0.3">
      <c r="A36" s="25">
        <v>45748</v>
      </c>
      <c r="B36" t="s">
        <v>18</v>
      </c>
      <c r="C36" s="23" t="str">
        <f>IFERROR(VLOOKUP(B36,'2. CADASTRO DE VEÍCULOS'!B:D,3,0),"")</f>
        <v>CITY SEDAN EX 1.5 FLEX 16V 4P AUTOMATICO</v>
      </c>
      <c r="D36" s="16" t="str">
        <f>IFERROR(VLOOKUP(B36,'2. CADASTRO DE VEÍCULOS'!B:C,2,0),"")</f>
        <v>HONDA</v>
      </c>
      <c r="E36" t="s">
        <v>39</v>
      </c>
      <c r="F36" t="s">
        <v>29</v>
      </c>
      <c r="G36" s="71" t="s">
        <v>89</v>
      </c>
      <c r="H36" t="s">
        <v>35</v>
      </c>
      <c r="I36" s="17">
        <v>110</v>
      </c>
    </row>
    <row r="37" spans="1:9" ht="14.4" x14ac:dyDescent="0.3">
      <c r="A37" s="25"/>
      <c r="C37" s="23"/>
      <c r="D37" s="16"/>
      <c r="I37" s="17"/>
    </row>
    <row r="38" spans="1:9" ht="14.4" x14ac:dyDescent="0.3">
      <c r="A38" s="25"/>
      <c r="C38" s="23"/>
      <c r="D38" s="16"/>
      <c r="I38" s="17"/>
    </row>
    <row r="39" spans="1:9" ht="14.4" x14ac:dyDescent="0.3">
      <c r="A39" s="25"/>
      <c r="C39" s="23"/>
      <c r="D39" s="16"/>
      <c r="I39" s="17"/>
    </row>
    <row r="40" spans="1:9" ht="14.4" x14ac:dyDescent="0.3">
      <c r="A40" s="25"/>
      <c r="C40" s="23"/>
      <c r="D40" s="16"/>
      <c r="I40" s="17"/>
    </row>
    <row r="41" spans="1:9" ht="14.4" x14ac:dyDescent="0.3">
      <c r="A41" s="25"/>
      <c r="C41" s="23"/>
      <c r="D41" s="16"/>
      <c r="I41" s="17"/>
    </row>
    <row r="42" spans="1:9" ht="14.4" x14ac:dyDescent="0.3">
      <c r="A42" s="25"/>
      <c r="C42" s="23"/>
      <c r="D42" s="16"/>
      <c r="I42" s="17"/>
    </row>
    <row r="43" spans="1:9" ht="14.4" x14ac:dyDescent="0.3">
      <c r="A43" s="25"/>
      <c r="C43" s="23"/>
      <c r="D43" s="16"/>
      <c r="I43" s="17"/>
    </row>
    <row r="44" spans="1:9" ht="14.4" x14ac:dyDescent="0.3">
      <c r="A44" s="25"/>
      <c r="C44" s="23"/>
      <c r="D44" s="16"/>
      <c r="I44" s="17"/>
    </row>
    <row r="45" spans="1:9" ht="14.4" x14ac:dyDescent="0.3">
      <c r="A45" s="25"/>
      <c r="C45" s="23"/>
      <c r="D45" s="16"/>
      <c r="I45" s="17"/>
    </row>
    <row r="46" spans="1:9" ht="14.4" x14ac:dyDescent="0.3">
      <c r="A46" s="25"/>
      <c r="C46" s="23"/>
      <c r="D46" s="16"/>
      <c r="I46" s="17"/>
    </row>
    <row r="47" spans="1:9" ht="14.4" x14ac:dyDescent="0.3">
      <c r="A47" s="25"/>
      <c r="C47" s="23"/>
      <c r="D47" s="16"/>
      <c r="I47" s="17"/>
    </row>
    <row r="48" spans="1:9" ht="14.4" x14ac:dyDescent="0.3">
      <c r="A48" s="25"/>
      <c r="C48" s="23"/>
      <c r="D48" s="16"/>
      <c r="I48" s="17"/>
    </row>
    <row r="49" spans="1:9" ht="14.4" x14ac:dyDescent="0.3">
      <c r="A49" s="25"/>
      <c r="C49" s="23"/>
      <c r="D49" s="16"/>
      <c r="I49" s="17"/>
    </row>
    <row r="50" spans="1:9" ht="14.4" x14ac:dyDescent="0.3">
      <c r="A50" s="25"/>
      <c r="C50" s="23"/>
      <c r="D50" s="16"/>
      <c r="I50" s="17"/>
    </row>
    <row r="51" spans="1:9" ht="14.4" x14ac:dyDescent="0.3">
      <c r="A51" s="25"/>
      <c r="C51" s="23"/>
      <c r="D51" s="16"/>
      <c r="I51" s="17"/>
    </row>
    <row r="52" spans="1:9" ht="14.4" x14ac:dyDescent="0.3">
      <c r="A52" s="25"/>
      <c r="C52" s="23"/>
      <c r="D52" s="16"/>
      <c r="I52" s="17"/>
    </row>
    <row r="53" spans="1:9" ht="14.4" x14ac:dyDescent="0.3">
      <c r="A53" s="25"/>
      <c r="C53" s="23"/>
      <c r="D53" s="16"/>
      <c r="I53" s="17"/>
    </row>
    <row r="54" spans="1:9" ht="14.4" x14ac:dyDescent="0.3">
      <c r="A54" s="25"/>
      <c r="C54" s="23"/>
      <c r="D54" s="16"/>
      <c r="I54" s="17"/>
    </row>
    <row r="55" spans="1:9" ht="14.4" x14ac:dyDescent="0.3">
      <c r="A55" s="25"/>
      <c r="C55" s="23"/>
      <c r="D55" s="16"/>
      <c r="I55" s="17"/>
    </row>
    <row r="56" spans="1:9" ht="14.4" x14ac:dyDescent="0.3">
      <c r="A56" s="25"/>
      <c r="C56" s="23"/>
      <c r="D56" s="16"/>
      <c r="I56" s="17"/>
    </row>
    <row r="57" spans="1:9" ht="14.4" x14ac:dyDescent="0.3">
      <c r="A57" s="25"/>
      <c r="C57" s="23"/>
      <c r="D57" s="16"/>
      <c r="I57" s="17"/>
    </row>
    <row r="58" spans="1:9" ht="14.4" x14ac:dyDescent="0.3">
      <c r="A58" s="25"/>
      <c r="C58" s="23"/>
      <c r="D58" s="16"/>
      <c r="I58" s="17"/>
    </row>
    <row r="59" spans="1:9" ht="14.4" x14ac:dyDescent="0.3">
      <c r="A59" s="25"/>
      <c r="C59" s="23"/>
      <c r="D59" s="16"/>
      <c r="I59" s="17"/>
    </row>
    <row r="60" spans="1:9" ht="14.4" x14ac:dyDescent="0.3">
      <c r="A60" s="25"/>
      <c r="C60" s="23"/>
      <c r="D60" s="16"/>
      <c r="I60" s="17"/>
    </row>
  </sheetData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topLeftCell="D1" workbookViewId="0">
      <pane ySplit="4" topLeftCell="A5" activePane="bottomLeft" state="frozen"/>
      <selection pane="bottomLeft" activeCell="B3" sqref="B3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5.5546875" customWidth="1"/>
    <col min="5" max="5" width="21.6640625" customWidth="1"/>
    <col min="6" max="6" width="23.6640625" customWidth="1"/>
    <col min="7" max="7" width="28.5546875" customWidth="1"/>
    <col min="9" max="9" width="15.109375" bestFit="1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31" customFormat="1" x14ac:dyDescent="0.3">
      <c r="A6" s="28" t="s">
        <v>90</v>
      </c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3" s="20" customFormat="1" x14ac:dyDescent="0.3">
      <c r="A7" s="20" t="s">
        <v>49</v>
      </c>
      <c r="B7" s="20" t="s">
        <v>13</v>
      </c>
      <c r="C7" s="21" t="s">
        <v>15</v>
      </c>
      <c r="D7" s="21" t="s">
        <v>14</v>
      </c>
      <c r="E7" s="20" t="s">
        <v>57</v>
      </c>
      <c r="F7" s="20" t="s">
        <v>91</v>
      </c>
      <c r="G7" s="20" t="s">
        <v>92</v>
      </c>
      <c r="H7" s="20" t="s">
        <v>93</v>
      </c>
      <c r="I7" s="20" t="s">
        <v>94</v>
      </c>
      <c r="J7" s="20" t="s">
        <v>95</v>
      </c>
      <c r="K7" s="20" t="s">
        <v>96</v>
      </c>
      <c r="L7" s="20" t="s">
        <v>97</v>
      </c>
      <c r="M7" s="20" t="s">
        <v>98</v>
      </c>
    </row>
    <row r="8" spans="1:13" x14ac:dyDescent="0.3">
      <c r="A8" s="15">
        <v>45748</v>
      </c>
      <c r="B8" t="s">
        <v>18</v>
      </c>
      <c r="C8" s="23" t="str">
        <f>IFERROR(VLOOKUP(B8,'2. CADASTRO DE VEÍCULOS'!B:D,3,0),"")</f>
        <v>CITY SEDAN EX 1.5 FLEX 16V 4P AUTOMATICO</v>
      </c>
      <c r="D8" s="16" t="str">
        <f>IFERROR(VLOOKUP(B8,'2. CADASTRO DE VEÍCULOS'!B:C,2,0),"")</f>
        <v>HONDA</v>
      </c>
      <c r="E8" t="s">
        <v>39</v>
      </c>
      <c r="F8" t="s">
        <v>26</v>
      </c>
      <c r="G8" s="26">
        <f>IFERROR(VLOOKUP(F8,'3. CADASTROS GERAIS'!A:B,2,0),"")</f>
        <v>5000</v>
      </c>
      <c r="I8" t="s">
        <v>99</v>
      </c>
      <c r="J8" t="s">
        <v>100</v>
      </c>
      <c r="K8">
        <v>350</v>
      </c>
      <c r="L8">
        <v>86823</v>
      </c>
      <c r="M8" s="30">
        <f>L8+G8</f>
        <v>91823</v>
      </c>
    </row>
    <row r="9" spans="1:13" x14ac:dyDescent="0.3">
      <c r="A9" s="15"/>
      <c r="C9" s="23"/>
      <c r="D9" s="16"/>
      <c r="G9" s="26"/>
      <c r="M9" s="30"/>
    </row>
    <row r="10" spans="1:13" x14ac:dyDescent="0.3">
      <c r="A10" s="15"/>
      <c r="C10" s="23"/>
      <c r="D10" s="16"/>
      <c r="G10" s="26"/>
      <c r="M10" s="30"/>
    </row>
    <row r="11" spans="1:13" x14ac:dyDescent="0.3">
      <c r="A11" s="15"/>
      <c r="C11" s="23"/>
      <c r="D11" s="16"/>
      <c r="G11" s="26"/>
      <c r="M11" s="30"/>
    </row>
  </sheetData>
  <dataValidations count="4">
    <dataValidation type="list" allowBlank="1" showInputMessage="1" showErrorMessage="1" sqref="B8:B11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G4" sqref="G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79" t="s">
        <v>1</v>
      </c>
      <c r="C2" s="80"/>
      <c r="D2" s="80"/>
      <c r="E2" s="80"/>
      <c r="F2" s="80"/>
    </row>
    <row r="3" spans="1:13" ht="32.25" customHeight="1" x14ac:dyDescent="0.3">
      <c r="B3" s="81"/>
      <c r="C3" s="81"/>
      <c r="D3" s="81"/>
      <c r="E3" s="81"/>
      <c r="F3" s="81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27"/>
  <sheetViews>
    <sheetView showGridLines="0" workbookViewId="0">
      <pane ySplit="4" topLeftCell="A5" activePane="bottomLeft" state="frozen"/>
      <selection pane="bottomLeft" activeCell="G23" sqref="G23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82" t="s">
        <v>1</v>
      </c>
      <c r="E2" s="82"/>
      <c r="F2" s="82"/>
      <c r="G2" s="82"/>
      <c r="H2" s="82"/>
      <c r="I2" s="82"/>
      <c r="J2" s="82"/>
      <c r="K2" s="82"/>
    </row>
    <row r="3" spans="1:15" ht="32.25" customHeight="1" x14ac:dyDescent="0.3">
      <c r="D3" s="82"/>
      <c r="E3" s="82"/>
      <c r="F3" s="82"/>
      <c r="G3" s="82"/>
      <c r="H3" s="82"/>
      <c r="I3" s="82"/>
      <c r="J3" s="82"/>
      <c r="K3" s="82"/>
    </row>
    <row r="4" spans="1:15" ht="23.25" customHeight="1" x14ac:dyDescent="0.3">
      <c r="A4" s="8" t="s">
        <v>2</v>
      </c>
      <c r="B4" s="83" t="s">
        <v>3</v>
      </c>
      <c r="C4" s="84"/>
      <c r="D4" s="83" t="s">
        <v>4</v>
      </c>
      <c r="E4" s="84"/>
      <c r="F4" s="83" t="s">
        <v>5</v>
      </c>
      <c r="G4" s="84"/>
      <c r="H4" s="85" t="s">
        <v>6</v>
      </c>
      <c r="I4" s="86"/>
      <c r="J4" s="8" t="s">
        <v>7</v>
      </c>
      <c r="K4" s="4" t="s">
        <v>101</v>
      </c>
      <c r="L4" s="2"/>
      <c r="M4" s="2"/>
      <c r="N4" s="54"/>
      <c r="O4" s="54"/>
    </row>
    <row r="6" spans="1:15" ht="15" thickBot="1" x14ac:dyDescent="0.35">
      <c r="A6" s="13" t="s">
        <v>102</v>
      </c>
      <c r="B6" s="13"/>
      <c r="C6" s="18"/>
      <c r="D6" s="18"/>
      <c r="E6" s="13"/>
      <c r="F6" s="19"/>
      <c r="G6" s="49"/>
      <c r="H6" s="50" t="s">
        <v>103</v>
      </c>
      <c r="I6" s="1"/>
      <c r="J6" s="49"/>
      <c r="K6" s="32" t="s">
        <v>104</v>
      </c>
      <c r="L6" s="53"/>
      <c r="M6" s="53"/>
      <c r="N6" s="3"/>
    </row>
    <row r="7" spans="1:15" x14ac:dyDescent="0.3">
      <c r="A7" s="34"/>
      <c r="B7" s="33"/>
      <c r="C7" s="33"/>
      <c r="D7" s="33"/>
      <c r="E7" s="33"/>
      <c r="F7" s="33"/>
      <c r="G7" s="33"/>
      <c r="H7" s="33"/>
      <c r="I7" s="33"/>
    </row>
    <row r="8" spans="1:15" x14ac:dyDescent="0.3">
      <c r="A8" s="36"/>
    </row>
    <row r="9" spans="1:15" x14ac:dyDescent="0.3">
      <c r="A9" s="36"/>
      <c r="J9" s="43" t="s">
        <v>49</v>
      </c>
      <c r="K9" s="72">
        <v>45744</v>
      </c>
    </row>
    <row r="10" spans="1:15" x14ac:dyDescent="0.3">
      <c r="A10" s="36"/>
    </row>
    <row r="11" spans="1:15" ht="15" thickBot="1" x14ac:dyDescent="0.35">
      <c r="A11" s="36"/>
      <c r="B11" s="28" t="s">
        <v>105</v>
      </c>
      <c r="C11" s="28"/>
      <c r="D11" s="28"/>
      <c r="E11" s="28"/>
      <c r="F11" s="28"/>
      <c r="G11" s="28"/>
      <c r="H11" s="28"/>
      <c r="J11" s="43" t="s">
        <v>106</v>
      </c>
      <c r="K11" t="s">
        <v>107</v>
      </c>
    </row>
    <row r="12" spans="1:15" x14ac:dyDescent="0.3">
      <c r="A12" s="36"/>
      <c r="B12" s="34"/>
      <c r="C12" s="33"/>
      <c r="D12" s="44" t="s">
        <v>108</v>
      </c>
      <c r="E12" s="33"/>
      <c r="F12" s="33"/>
      <c r="G12" s="35"/>
      <c r="J12" s="96" t="s">
        <v>113</v>
      </c>
      <c r="K12" s="95" t="e">
        <v>#DIV/0!</v>
      </c>
    </row>
    <row r="13" spans="1:15" x14ac:dyDescent="0.3">
      <c r="A13" s="36"/>
      <c r="B13" s="42" t="s">
        <v>13</v>
      </c>
      <c r="C13" s="87" t="s">
        <v>49</v>
      </c>
      <c r="D13" s="88" t="s">
        <v>109</v>
      </c>
      <c r="E13" s="88" t="s">
        <v>110</v>
      </c>
      <c r="F13" s="88" t="s">
        <v>111</v>
      </c>
      <c r="G13" s="37" t="s">
        <v>112</v>
      </c>
    </row>
    <row r="14" spans="1:15" x14ac:dyDescent="0.3">
      <c r="A14" s="36"/>
      <c r="B14" s="36" t="s">
        <v>18</v>
      </c>
      <c r="C14" s="89">
        <v>45744</v>
      </c>
      <c r="D14" s="92">
        <v>100</v>
      </c>
      <c r="E14" s="93">
        <v>100</v>
      </c>
      <c r="F14" s="92">
        <v>1</v>
      </c>
      <c r="G14" s="51">
        <v>6.0499999999999989</v>
      </c>
    </row>
    <row r="15" spans="1:15" x14ac:dyDescent="0.3">
      <c r="A15" s="36"/>
      <c r="B15" s="36" t="s">
        <v>129</v>
      </c>
      <c r="C15" s="89" t="s">
        <v>129</v>
      </c>
      <c r="D15" s="92"/>
      <c r="E15" s="93"/>
      <c r="F15" s="92" t="e">
        <v>#DIV/0!</v>
      </c>
      <c r="G15" s="51" t="e">
        <v>#DIV/0!</v>
      </c>
    </row>
    <row r="16" spans="1:15" ht="15" thickBot="1" x14ac:dyDescent="0.35">
      <c r="A16" s="36"/>
      <c r="B16" s="38" t="s">
        <v>113</v>
      </c>
      <c r="C16" s="39"/>
      <c r="D16" s="40">
        <v>100</v>
      </c>
      <c r="E16" s="94">
        <v>100</v>
      </c>
      <c r="F16" s="40">
        <v>1</v>
      </c>
      <c r="G16" s="52">
        <v>6.0499999999999989</v>
      </c>
    </row>
    <row r="17" spans="1:11" x14ac:dyDescent="0.3">
      <c r="A17" s="36"/>
    </row>
    <row r="18" spans="1:11" x14ac:dyDescent="0.3">
      <c r="A18" s="36"/>
    </row>
    <row r="19" spans="1:11" x14ac:dyDescent="0.3">
      <c r="A19" s="36"/>
    </row>
    <row r="20" spans="1:11" x14ac:dyDescent="0.3">
      <c r="A20" s="36"/>
    </row>
    <row r="21" spans="1:11" x14ac:dyDescent="0.3">
      <c r="A21" s="36"/>
    </row>
    <row r="22" spans="1:11" x14ac:dyDescent="0.3">
      <c r="A22" s="36"/>
    </row>
    <row r="23" spans="1:11" x14ac:dyDescent="0.3">
      <c r="A23" s="36"/>
      <c r="J23" s="55"/>
      <c r="K23" s="55"/>
    </row>
    <row r="24" spans="1:11" x14ac:dyDescent="0.3">
      <c r="A24" s="36"/>
      <c r="J24" s="55"/>
      <c r="K24" s="55"/>
    </row>
    <row r="25" spans="1:11" x14ac:dyDescent="0.3">
      <c r="A25" s="36"/>
    </row>
    <row r="26" spans="1:11" x14ac:dyDescent="0.3">
      <c r="A26" s="36"/>
    </row>
    <row r="27" spans="1:11" ht="15" thickBot="1" x14ac:dyDescent="0.35"/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tabSelected="1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5.5546875" customWidth="1"/>
    <col min="3" max="3" width="15.6640625" customWidth="1"/>
    <col min="4" max="4" width="23.33203125" customWidth="1"/>
    <col min="5" max="6" width="16.6640625" customWidth="1"/>
    <col min="7" max="7" width="10.109375" customWidth="1"/>
    <col min="8" max="8" width="5.4414062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79" t="s">
        <v>1</v>
      </c>
      <c r="E2" s="80"/>
      <c r="F2" s="80"/>
      <c r="G2" s="80"/>
      <c r="H2" s="80"/>
      <c r="I2" s="80"/>
      <c r="J2" s="80"/>
    </row>
    <row r="3" spans="1:13" ht="32.25" customHeight="1" x14ac:dyDescent="0.3">
      <c r="D3" s="80"/>
      <c r="E3" s="80"/>
      <c r="F3" s="80"/>
      <c r="G3" s="80"/>
      <c r="H3" s="80"/>
      <c r="I3" s="80"/>
      <c r="J3" s="80"/>
    </row>
    <row r="4" spans="1:13" ht="23.25" customHeight="1" x14ac:dyDescent="0.3">
      <c r="A4" s="8" t="s">
        <v>2</v>
      </c>
      <c r="B4" s="83" t="s">
        <v>3</v>
      </c>
      <c r="C4" s="84"/>
      <c r="D4" s="83" t="s">
        <v>4</v>
      </c>
      <c r="E4" s="84"/>
      <c r="F4" s="83" t="s">
        <v>5</v>
      </c>
      <c r="G4" s="84"/>
      <c r="H4" s="85" t="s">
        <v>6</v>
      </c>
      <c r="I4" s="86"/>
      <c r="J4" s="8" t="s">
        <v>7</v>
      </c>
      <c r="K4" s="4" t="s">
        <v>114</v>
      </c>
      <c r="L4" s="2"/>
      <c r="M4" s="2"/>
    </row>
    <row r="6" spans="1:13" x14ac:dyDescent="0.3">
      <c r="A6" s="13" t="s">
        <v>115</v>
      </c>
      <c r="B6" s="13"/>
      <c r="C6" s="18"/>
      <c r="D6" s="18"/>
      <c r="E6" s="13"/>
      <c r="F6" s="19"/>
      <c r="G6" s="49"/>
      <c r="H6" s="50" t="s">
        <v>103</v>
      </c>
      <c r="I6" s="49"/>
      <c r="J6" s="3"/>
      <c r="K6" s="32" t="s">
        <v>104</v>
      </c>
      <c r="L6" s="32"/>
    </row>
    <row r="7" spans="1:13" ht="15" thickBot="1" x14ac:dyDescent="0.35">
      <c r="A7" s="33"/>
      <c r="B7" s="33"/>
      <c r="C7" s="33"/>
      <c r="D7" s="33"/>
      <c r="E7" s="33"/>
      <c r="F7" s="33"/>
      <c r="G7" s="33"/>
      <c r="H7" s="33"/>
      <c r="I7" s="33"/>
      <c r="J7" s="43" t="s">
        <v>49</v>
      </c>
      <c r="K7" s="72">
        <v>45748</v>
      </c>
    </row>
    <row r="8" spans="1:13" ht="15" thickBot="1" x14ac:dyDescent="0.35">
      <c r="A8" s="46" t="s">
        <v>49</v>
      </c>
      <c r="B8" s="77">
        <v>45748</v>
      </c>
    </row>
    <row r="9" spans="1:13" ht="15" thickBot="1" x14ac:dyDescent="0.35">
      <c r="A9" s="28" t="s">
        <v>116</v>
      </c>
      <c r="B9" s="28"/>
      <c r="C9" s="28"/>
      <c r="D9" s="28"/>
      <c r="E9" s="28"/>
      <c r="F9" s="28"/>
      <c r="G9" s="28"/>
      <c r="H9" s="28"/>
      <c r="J9" s="43" t="s">
        <v>106</v>
      </c>
      <c r="K9" t="s">
        <v>117</v>
      </c>
    </row>
    <row r="10" spans="1:13" x14ac:dyDescent="0.3">
      <c r="A10" s="45" t="s">
        <v>108</v>
      </c>
      <c r="B10" s="33"/>
      <c r="C10" s="33"/>
      <c r="D10" s="44" t="s">
        <v>58</v>
      </c>
      <c r="E10" s="35"/>
      <c r="J10" s="11" t="s">
        <v>29</v>
      </c>
      <c r="K10" s="91">
        <v>4392</v>
      </c>
    </row>
    <row r="11" spans="1:13" x14ac:dyDescent="0.3">
      <c r="A11" s="42" t="s">
        <v>13</v>
      </c>
      <c r="B11" s="87" t="s">
        <v>15</v>
      </c>
      <c r="C11" s="87" t="s">
        <v>14</v>
      </c>
      <c r="D11" s="99" t="s">
        <v>29</v>
      </c>
      <c r="E11" s="47" t="s">
        <v>118</v>
      </c>
      <c r="J11" s="11" t="s">
        <v>113</v>
      </c>
      <c r="K11" s="91">
        <v>4392</v>
      </c>
    </row>
    <row r="12" spans="1:13" x14ac:dyDescent="0.3">
      <c r="A12" s="48" t="s">
        <v>18</v>
      </c>
      <c r="B12" s="88" t="s">
        <v>20</v>
      </c>
      <c r="C12" s="88" t="s">
        <v>19</v>
      </c>
      <c r="D12" s="97">
        <v>4392</v>
      </c>
      <c r="E12" s="98">
        <v>4392</v>
      </c>
    </row>
    <row r="13" spans="1:13" ht="15" thickBot="1" x14ac:dyDescent="0.35">
      <c r="A13" s="38" t="s">
        <v>118</v>
      </c>
      <c r="B13" s="39"/>
      <c r="C13" s="39"/>
      <c r="D13" s="40">
        <v>4392</v>
      </c>
      <c r="E13" s="41">
        <v>4392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J6" sqref="J6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79" t="s">
        <v>1</v>
      </c>
      <c r="D2" s="80"/>
      <c r="E2" s="80"/>
      <c r="F2" s="80"/>
      <c r="G2" s="80"/>
      <c r="H2" s="80"/>
    </row>
    <row r="3" spans="1:13" ht="32.25" customHeight="1" x14ac:dyDescent="0.3">
      <c r="C3" s="80"/>
      <c r="D3" s="80"/>
      <c r="E3" s="80"/>
      <c r="F3" s="80"/>
      <c r="G3" s="80"/>
      <c r="H3" s="80"/>
    </row>
    <row r="4" spans="1:13" ht="23.25" customHeight="1" x14ac:dyDescent="0.3">
      <c r="A4" s="8" t="s">
        <v>2</v>
      </c>
      <c r="B4" s="83" t="s">
        <v>3</v>
      </c>
      <c r="C4" s="84"/>
      <c r="D4" s="83" t="s">
        <v>4</v>
      </c>
      <c r="E4" s="84"/>
      <c r="F4" s="83" t="s">
        <v>5</v>
      </c>
      <c r="G4" s="84"/>
      <c r="H4" s="85" t="s">
        <v>6</v>
      </c>
      <c r="I4" s="86"/>
      <c r="J4" s="8" t="s">
        <v>7</v>
      </c>
      <c r="K4" s="4" t="s">
        <v>119</v>
      </c>
      <c r="L4" s="2"/>
      <c r="M4" s="2"/>
    </row>
    <row r="6" spans="1:13" x14ac:dyDescent="0.3">
      <c r="A6" s="13" t="s">
        <v>115</v>
      </c>
      <c r="B6" s="13"/>
      <c r="C6" s="18"/>
      <c r="D6" s="18"/>
      <c r="E6" s="13"/>
      <c r="F6" s="19"/>
      <c r="G6" s="49"/>
      <c r="H6" s="50" t="s">
        <v>103</v>
      </c>
      <c r="I6" s="49"/>
      <c r="J6" s="3"/>
      <c r="K6" s="32" t="s">
        <v>104</v>
      </c>
      <c r="L6" s="32"/>
    </row>
    <row r="7" spans="1:13" ht="15" thickBot="1" x14ac:dyDescent="0.35">
      <c r="A7" s="62"/>
      <c r="B7" s="62"/>
      <c r="C7" s="63"/>
      <c r="D7" s="63"/>
      <c r="E7" s="62"/>
      <c r="F7" s="64"/>
      <c r="G7" s="65"/>
      <c r="H7" s="66"/>
      <c r="I7" s="65"/>
      <c r="K7" s="31"/>
      <c r="L7" s="31"/>
    </row>
    <row r="8" spans="1:13" x14ac:dyDescent="0.3">
      <c r="A8" s="33"/>
      <c r="B8" s="33"/>
      <c r="C8" s="33"/>
      <c r="D8" s="33"/>
      <c r="E8" s="33"/>
      <c r="F8" s="33"/>
      <c r="G8" s="60" t="s">
        <v>120</v>
      </c>
      <c r="H8" s="60"/>
      <c r="I8" s="60"/>
      <c r="J8" s="60"/>
      <c r="K8" s="60"/>
      <c r="L8" s="61"/>
    </row>
    <row r="9" spans="1:13" x14ac:dyDescent="0.3">
      <c r="G9" s="59" t="s">
        <v>13</v>
      </c>
      <c r="H9" s="59" t="s">
        <v>14</v>
      </c>
      <c r="I9" s="59" t="s">
        <v>15</v>
      </c>
      <c r="J9" s="59" t="s">
        <v>121</v>
      </c>
      <c r="K9" s="59" t="s">
        <v>122</v>
      </c>
      <c r="L9" s="59" t="s">
        <v>123</v>
      </c>
    </row>
    <row r="10" spans="1:13" x14ac:dyDescent="0.3">
      <c r="G10" t="s">
        <v>124</v>
      </c>
      <c r="H10" t="s">
        <v>125</v>
      </c>
      <c r="I10" s="56">
        <v>2450</v>
      </c>
      <c r="J10" s="57">
        <f t="array" ref="J10">IFERROR(LARGE(IF(G10=Tabela4[Placa],Tabela4[Quilometragem do hodômetro (Km)]),1),0)</f>
        <v>0</v>
      </c>
      <c r="K10" s="57">
        <f t="array" ref="K10">IFERROR(LARGE(IF(G10=Tabela9[Placa],Tabela9[Próxima troca (Km)]),1),0)</f>
        <v>0</v>
      </c>
      <c r="L10" s="58" t="str">
        <f>IF(K10&lt;=(J10*1.1),"Troca está próxima","")</f>
        <v>Troca está próxima</v>
      </c>
    </row>
    <row r="11" spans="1:13" x14ac:dyDescent="0.3">
      <c r="I11" s="56"/>
      <c r="J11" s="57"/>
      <c r="K11" s="57"/>
      <c r="L11" s="58"/>
    </row>
    <row r="12" spans="1:13" ht="15" thickBot="1" x14ac:dyDescent="0.35">
      <c r="B12" s="28" t="s">
        <v>126</v>
      </c>
      <c r="C12" s="28"/>
      <c r="D12" s="28"/>
      <c r="E12" s="28"/>
      <c r="F12" s="28"/>
      <c r="I12" s="56"/>
      <c r="J12" s="57"/>
      <c r="K12" s="57"/>
      <c r="L12" s="58"/>
    </row>
    <row r="13" spans="1:13" x14ac:dyDescent="0.3">
      <c r="B13" s="34"/>
      <c r="C13" s="33"/>
      <c r="D13" s="44" t="s">
        <v>108</v>
      </c>
      <c r="E13" s="35"/>
      <c r="I13" s="56"/>
      <c r="J13" s="57"/>
      <c r="K13" s="57"/>
      <c r="L13" s="58"/>
    </row>
    <row r="14" spans="1:13" x14ac:dyDescent="0.3">
      <c r="B14" s="42" t="s">
        <v>13</v>
      </c>
      <c r="C14" s="87" t="s">
        <v>49</v>
      </c>
      <c r="D14" s="88" t="s">
        <v>127</v>
      </c>
      <c r="E14" s="37" t="s">
        <v>128</v>
      </c>
      <c r="I14" s="56"/>
      <c r="J14" s="57"/>
      <c r="K14" s="57"/>
      <c r="L14" s="58"/>
    </row>
    <row r="15" spans="1:13" x14ac:dyDescent="0.3">
      <c r="B15" s="36" t="s">
        <v>18</v>
      </c>
      <c r="C15" s="89">
        <v>45748</v>
      </c>
      <c r="D15" s="90">
        <v>350</v>
      </c>
      <c r="E15" s="67">
        <v>1</v>
      </c>
      <c r="I15" s="56"/>
      <c r="J15" s="57"/>
      <c r="K15" s="57"/>
      <c r="L15" s="58"/>
    </row>
    <row r="16" spans="1:13" x14ac:dyDescent="0.3">
      <c r="B16" s="36" t="s">
        <v>129</v>
      </c>
      <c r="C16" s="89" t="s">
        <v>129</v>
      </c>
      <c r="D16" s="90"/>
      <c r="E16" s="67">
        <v>0</v>
      </c>
      <c r="I16" s="56"/>
      <c r="J16" s="57"/>
      <c r="K16" s="57"/>
      <c r="L16" s="58"/>
    </row>
    <row r="17" spans="2:12" ht="15" thickBot="1" x14ac:dyDescent="0.35">
      <c r="B17" s="38" t="s">
        <v>113</v>
      </c>
      <c r="C17" s="39"/>
      <c r="D17" s="68">
        <v>350</v>
      </c>
      <c r="E17" s="69">
        <v>1</v>
      </c>
      <c r="I17" s="56"/>
      <c r="J17" s="57"/>
      <c r="K17" s="57"/>
      <c r="L17" s="58"/>
    </row>
    <row r="18" spans="2:12" x14ac:dyDescent="0.3">
      <c r="I18" s="56"/>
      <c r="J18" s="57"/>
      <c r="K18" s="57"/>
      <c r="L18" s="58"/>
    </row>
    <row r="19" spans="2:12" ht="15" thickBot="1" x14ac:dyDescent="0.35">
      <c r="I19" s="56"/>
      <c r="J19" s="57"/>
      <c r="K19" s="57"/>
      <c r="L19" s="58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41</vt:i4>
      </vt:variant>
    </vt:vector>
  </HeadingPairs>
  <TitlesOfParts>
    <vt:vector size="51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'7.3 Troca de óleo'!A</vt:lpstr>
      <vt:lpstr>A</vt:lpstr>
      <vt:lpstr>'7.3 Troca de óleo'!B</vt:lpstr>
      <vt:lpstr>B</vt:lpstr>
      <vt:lpstr>'7.3 Troca de óleo'!D</vt:lpstr>
      <vt:lpstr>D</vt:lpstr>
      <vt:lpstr>'7.3 Troca de óleo'!E</vt:lpstr>
      <vt:lpstr>E</vt:lpstr>
      <vt:lpstr>'7.3 Troca de óleo'!G</vt:lpstr>
      <vt:lpstr>G</vt:lpstr>
      <vt:lpstr>'7.1 Abastecimento'!Oficinas</vt:lpstr>
      <vt:lpstr>'7.2 Manutenção'!Oficinas</vt:lpstr>
      <vt:lpstr>'7.3 Troca de óleo'!Oficinas</vt:lpstr>
      <vt:lpstr>Oficinas</vt:lpstr>
      <vt:lpstr>'7.1 Abastecimento'!Oleo</vt:lpstr>
      <vt:lpstr>'7.2 Manutenção'!Oleo</vt:lpstr>
      <vt:lpstr>'7.3 Troca de óleo'!Oleo</vt:lpstr>
      <vt:lpstr>Oleo</vt:lpstr>
      <vt:lpstr>'7.1 Abastecimento'!Óleos</vt:lpstr>
      <vt:lpstr>'7.2 Manutenção'!Óleos</vt:lpstr>
      <vt:lpstr>'7.3 Troca de óleo'!Óleos</vt:lpstr>
      <vt:lpstr>Óleos</vt:lpstr>
      <vt:lpstr>'7.1 Abastecimento'!Placa</vt:lpstr>
      <vt:lpstr>'7.2 Manutenção'!Placa</vt:lpstr>
      <vt:lpstr>'7.3 Troca de óleo'!Placa</vt:lpstr>
      <vt:lpstr>Placa</vt:lpstr>
      <vt:lpstr>'7.1 Abastecimento'!Posto</vt:lpstr>
      <vt:lpstr>'7.2 Manutenção'!Posto</vt:lpstr>
      <vt:lpstr>'7.3 Troca de óleo'!Posto</vt:lpstr>
      <vt:lpstr>Posto</vt:lpstr>
      <vt:lpstr>'7.1 Abastecimento'!Servico</vt:lpstr>
      <vt:lpstr>'7.3 Troca de óleo'!Servico</vt:lpstr>
      <vt:lpstr>Servico</vt:lpstr>
      <vt:lpstr>'7.1 Abastecimento'!Serviços</vt:lpstr>
      <vt:lpstr>'7.2 Manutenção'!Serviços</vt:lpstr>
      <vt:lpstr>'7.3 Troca de óleo'!Serviços</vt:lpstr>
      <vt:lpstr>Serviços</vt:lpstr>
      <vt:lpstr>'7.1 Abastecimento'!TipoOleo</vt:lpstr>
      <vt:lpstr>'7.2 Manutenção'!TipoOleo</vt:lpstr>
      <vt:lpstr>'7.3 Troca de óleo'!TipoOleo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2025-04-04T00:29:21Z</dcterms:modified>
  <cp:category/>
  <cp:contentStatus/>
</cp:coreProperties>
</file>